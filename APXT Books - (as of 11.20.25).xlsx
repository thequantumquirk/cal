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useefficiency.sharepoint.com/sites/Efficiency/Shared Documents/Lake Superior/Daily Books/"/>
    </mc:Choice>
  </mc:AlternateContent>
  <xr:revisionPtr revIDLastSave="0" documentId="8_{4A61039E-C5DB-4FF6-BDC7-C8F59F7F4D83}" xr6:coauthVersionLast="47" xr6:coauthVersionMax="47" xr10:uidLastSave="{00000000-0000-0000-0000-000000000000}"/>
  <bookViews>
    <workbookView xWindow="4080" yWindow="500" windowWidth="24720" windowHeight="13920" firstSheet="5" activeTab="5" xr2:uid="{BB4E5BAE-73A9-41D5-9059-511AB264E6FF}"/>
  </bookViews>
  <sheets>
    <sheet name="Issuer" sheetId="1" r:id="rId1"/>
    <sheet name="Recordkeeping Book" sheetId="3" r:id="rId2"/>
    <sheet name="Restrictions" sheetId="7" r:id="rId3"/>
    <sheet name="Control Book" sheetId="4" r:id="rId4"/>
    <sheet name="Statements" sheetId="8" r:id="rId5"/>
    <sheet name="Transfer Journals" sheetId="6" r:id="rId6"/>
  </sheets>
  <definedNames>
    <definedName name="_Hlk196503205" localSheetId="2">Restrictions!#REF!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06" i="6" l="1"/>
  <c r="J564" i="6"/>
  <c r="J525" i="6"/>
  <c r="H525" i="6"/>
  <c r="H32" i="4"/>
  <c r="H15" i="4"/>
  <c r="H7" i="4"/>
  <c r="K116" i="3"/>
  <c r="K68" i="3"/>
  <c r="K34" i="3"/>
  <c r="J486" i="6"/>
  <c r="J444" i="6"/>
  <c r="J405" i="6"/>
  <c r="H405" i="6"/>
  <c r="H31" i="4"/>
  <c r="H14" i="4"/>
  <c r="H6" i="4"/>
  <c r="K85" i="3"/>
  <c r="J366" i="6"/>
  <c r="J324" i="6"/>
  <c r="J285" i="6"/>
  <c r="H285" i="6"/>
  <c r="H30" i="4"/>
  <c r="H13" i="4"/>
  <c r="H5" i="4"/>
  <c r="H162" i="6"/>
  <c r="J243" i="6"/>
  <c r="J201" i="6"/>
  <c r="J162" i="6"/>
  <c r="H29" i="4"/>
  <c r="H12" i="4"/>
  <c r="H4" i="4"/>
  <c r="K70" i="3"/>
  <c r="J119" i="6"/>
  <c r="J77" i="6"/>
  <c r="J38" i="6"/>
  <c r="H28" i="4"/>
  <c r="H19" i="4"/>
  <c r="H3" i="4"/>
  <c r="K84" i="3"/>
  <c r="K83" i="3"/>
  <c r="K118" i="3" s="1"/>
  <c r="K79" i="3"/>
  <c r="K78" i="3"/>
  <c r="K77" i="3"/>
  <c r="K76" i="3"/>
  <c r="K75" i="3"/>
  <c r="K74" i="3"/>
  <c r="K73" i="3"/>
  <c r="K36" i="3"/>
  <c r="K72" i="3"/>
  <c r="K81" i="3" s="1"/>
  <c r="C18" i="1"/>
</calcChain>
</file>

<file path=xl/sharedStrings.xml><?xml version="1.0" encoding="utf-8"?>
<sst xmlns="http://schemas.openxmlformats.org/spreadsheetml/2006/main" count="2343" uniqueCount="256">
  <si>
    <t>SPAC NAME:</t>
  </si>
  <si>
    <t>APEX TREASURY CORPORATION</t>
  </si>
  <si>
    <t>ADDRESS:</t>
  </si>
  <si>
    <t>2035 REGATTA DRIVE
VERO BEACH FL  32963</t>
  </si>
  <si>
    <t>25,000,000 UNITS BEING ISSUED, WITH ANOTHER 3,750,000 UNITS ISSUABLE AS A GREENSHOE.</t>
  </si>
  <si>
    <t>SEPARATION RATIO</t>
  </si>
  <si>
    <t>1 UNIT = 1 CLASS A SHARE AND 1/2 OF 1 REDEEMABLE WARRANT</t>
  </si>
  <si>
    <t>500,000,000 CLASS A SHARES AND
50,000,000 CLASS B SHARES AUTHORIZED</t>
  </si>
  <si>
    <t>TELEPHONE:</t>
  </si>
  <si>
    <t>772-588-4799</t>
  </si>
  <si>
    <t> </t>
  </si>
  <si>
    <t>TAX ID:</t>
  </si>
  <si>
    <t xml:space="preserve">NA </t>
  </si>
  <si>
    <t>SHARE INFORMATION:</t>
  </si>
  <si>
    <t>CLASS A ORDINARY - APXT - G04104 108
CLASS B ORDINARY - PRIVATE
WARRANTS - APXTW - G04104 124
UNITS - APXTU - G04104 116</t>
  </si>
  <si>
    <t>INCORPORATION:</t>
  </si>
  <si>
    <t>CAYMEN ISLANDS</t>
  </si>
  <si>
    <t>UNDERWRITER:</t>
  </si>
  <si>
    <t>COHEN &amp; COMPANY SECURITIES</t>
  </si>
  <si>
    <t>SECURITY TYPES BEING ISSUED:</t>
  </si>
  <si>
    <t>UNITS, CLASS A, CLASS B, WARRANTS</t>
  </si>
  <si>
    <t>FORM S-1:</t>
  </si>
  <si>
    <t>OBTAINED</t>
  </si>
  <si>
    <t>TIMEFRAME FOR SEPARATION:</t>
  </si>
  <si>
    <t>52 DAYS FROM PRICING DATE</t>
  </si>
  <si>
    <t>EXCHANGE:</t>
  </si>
  <si>
    <t>NASDAQ</t>
  </si>
  <si>
    <t>TIMEFRAME FOR BC:</t>
  </si>
  <si>
    <t>24 MONTHS FROM IPO</t>
  </si>
  <si>
    <t>U.S. COUNSEL:</t>
  </si>
  <si>
    <t>PERKINS COIE LLP</t>
  </si>
  <si>
    <t>ELLIOTT SMITH</t>
  </si>
  <si>
    <t>OFFSHORE COUNSEL:</t>
  </si>
  <si>
    <t>APPLEBY (CAYMAN) LTD</t>
  </si>
  <si>
    <t>SIMON FAFTOPOULOS, ALEXANDRA LOW</t>
  </si>
  <si>
    <t>WARRANT IPO ISSUANCE:</t>
  </si>
  <si>
    <t>TBD</t>
  </si>
  <si>
    <t>CLASS B SHARE ISSUANCE:</t>
  </si>
  <si>
    <t>REDEMPTIONS:</t>
  </si>
  <si>
    <t xml:space="preserve">PAYABLE 2 BUSINESS DAYS PRIOR TO BC CLOSING. </t>
  </si>
  <si>
    <t> **</t>
  </si>
  <si>
    <t>N/A</t>
  </si>
  <si>
    <t>REQUIRED DOCUMENTS</t>
  </si>
  <si>
    <t>STATUS</t>
  </si>
  <si>
    <t>COMMENTS</t>
  </si>
  <si>
    <t>INVESTMENT MANAGEMENT TRUST AGREEMENT</t>
  </si>
  <si>
    <t>INCUMBENCY CERTIFICATE</t>
  </si>
  <si>
    <t>TRANSFER AGENT / REGISTRAR AGREEMENT</t>
  </si>
  <si>
    <t>WARRANT AGREEMENT</t>
  </si>
  <si>
    <t>ESCROW AGREEMENT</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</si>
  <si>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</si>
  <si>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</si>
  <si>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</si>
  <si>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</si>
  <si>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</si>
  <si>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</si>
  <si>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</si>
  <si>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</si>
  <si>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</si>
  <si>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</si>
  <si>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</si>
  <si>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</si>
  <si>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COMPLETED</t>
  </si>
  <si>
    <t>NO HITS</t>
  </si>
  <si>
    <t>UNDERWRITER'S LETTER</t>
  </si>
  <si>
    <t>ISSUER'S LETTER OF INSTRUCTION</t>
  </si>
  <si>
    <t>OFFICER/DIRECTOR OFAC SEARCHES @ 95%</t>
  </si>
  <si>
    <t>RESULTS</t>
  </si>
  <si>
    <t>AJMAL RAHMAN, CO-CEO &amp; CHAIRMAN</t>
  </si>
  <si>
    <t>NEAR MISS CLEARED BY DATE OF BIRTH</t>
  </si>
  <si>
    <t>HUGH COCHRANE, CO-CEO &amp; DIRECTOR</t>
  </si>
  <si>
    <t>NULL</t>
  </si>
  <si>
    <t>JAMES MCNAUGHT-DAVIS, HEAD OF M&amp;A</t>
  </si>
  <si>
    <t>PAUL SYKES, CFO</t>
  </si>
  <si>
    <t>WILLIAM MANN, DIRECTOR NOM</t>
  </si>
  <si>
    <t>DAVID MIKULECKY, DIRECTOR NOM</t>
  </si>
  <si>
    <t>BETTY LIU, DIRECTOR NOM</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</si>
  <si>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</si>
  <si>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</si>
  <si>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</si>
  <si>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</si>
  <si>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</si>
  <si>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</si>
  <si>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</si>
  <si>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</si>
  <si>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</si>
  <si>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</si>
  <si>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</si>
  <si>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</si>
  <si>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</si>
  <si>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</si>
  <si>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</si>
  <si>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</si>
  <si>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</si>
  <si>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</si>
  <si>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</si>
  <si>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</si>
  <si>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</si>
  <si>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</si>
  <si>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</si>
  <si>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</si>
  <si>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</si>
  <si>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</si>
  <si>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</si>
  <si>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</si>
  <si>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</si>
  <si>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</si>
  <si>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</si>
  <si>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</si>
  <si>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</si>
  <si>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</si>
  <si>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</si>
  <si>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</si>
  <si>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APEX Technology Corporation Units</t>
  </si>
  <si>
    <t>APXTU</t>
  </si>
  <si>
    <t>G04104116</t>
  </si>
  <si>
    <t>Units</t>
  </si>
  <si>
    <t>IPO</t>
  </si>
  <si>
    <t xml:space="preserve">Credit  </t>
  </si>
  <si>
    <t xml:space="preserve"> </t>
  </si>
  <si>
    <t>Book Entry</t>
  </si>
  <si>
    <t>ACTIVE</t>
  </si>
  <si>
    <t>Cede &amp; Co.</t>
  </si>
  <si>
    <t>Depository</t>
  </si>
  <si>
    <t>55 Water Street</t>
  </si>
  <si>
    <t>New York</t>
  </si>
  <si>
    <t>NY</t>
  </si>
  <si>
    <t>USA</t>
  </si>
  <si>
    <t>13-2555119</t>
  </si>
  <si>
    <t>Certified</t>
  </si>
  <si>
    <t>Null</t>
  </si>
  <si>
    <t>DWAC Withdrawal</t>
  </si>
  <si>
    <t>Debit</t>
  </si>
  <si>
    <t>Total Units Outstanding</t>
  </si>
  <si>
    <t>APEX Technology Corporation Class A</t>
  </si>
  <si>
    <t>APXT</t>
  </si>
  <si>
    <t>G04104108</t>
  </si>
  <si>
    <t>Class A Ordinary Stock</t>
  </si>
  <si>
    <t>DWAC Deposit</t>
  </si>
  <si>
    <t>Credit</t>
  </si>
  <si>
    <t>Total Shares Outstanding</t>
  </si>
  <si>
    <t>APEX Technology Corporation Class B</t>
  </si>
  <si>
    <t>NA</t>
  </si>
  <si>
    <t>Class B Ordinary Stock</t>
  </si>
  <si>
    <t>APXT A</t>
  </si>
  <si>
    <t>APEX Treasury Sponsor LLC</t>
  </si>
  <si>
    <t>Partnership</t>
  </si>
  <si>
    <t>2035 Regatta Drive</t>
  </si>
  <si>
    <t>Vero Beach</t>
  </si>
  <si>
    <t>FL</t>
  </si>
  <si>
    <t>Sykes</t>
  </si>
  <si>
    <t>Paul</t>
  </si>
  <si>
    <t>Individual</t>
  </si>
  <si>
    <t>c/o Apex Treasury Corp, 2035 Regatta Dr</t>
  </si>
  <si>
    <t>paul@apextreasurycorp.com</t>
  </si>
  <si>
    <t>Mann</t>
  </si>
  <si>
    <t>William</t>
  </si>
  <si>
    <t>bill@harmoniqinsights.com</t>
  </si>
  <si>
    <t>Mikulecky</t>
  </si>
  <si>
    <t>David</t>
  </si>
  <si>
    <t>dmikulecky80@gmail.com</t>
  </si>
  <si>
    <t>Liu</t>
  </si>
  <si>
    <t>Betty</t>
  </si>
  <si>
    <t>betty@dandzmedia.com</t>
  </si>
  <si>
    <t>Linden</t>
  </si>
  <si>
    <t>John</t>
  </si>
  <si>
    <t>john@mythical.games</t>
  </si>
  <si>
    <t xml:space="preserve">Ma </t>
  </si>
  <si>
    <t>Richard</t>
  </si>
  <si>
    <t>richard@quantstamp.com</t>
  </si>
  <si>
    <t>Ng</t>
  </si>
  <si>
    <t>Kester</t>
  </si>
  <si>
    <t>kng@gre-inv.com</t>
  </si>
  <si>
    <t>APEX Technology Corporation Warrants</t>
  </si>
  <si>
    <t>APXTW</t>
  </si>
  <si>
    <t>G04104124</t>
  </si>
  <si>
    <t>Warrants</t>
  </si>
  <si>
    <t>APXT B</t>
  </si>
  <si>
    <t>APXT C</t>
  </si>
  <si>
    <t>Cohen &amp; Company Capital Markets, 
a Division of Cohen &amp; Company
Securities, LLC</t>
  </si>
  <si>
    <t>Broker / Dealer</t>
  </si>
  <si>
    <t>3 Columbus Circle, 24th Floor</t>
  </si>
  <si>
    <t>Clear Street LLC</t>
  </si>
  <si>
    <t>4 World Trade Center, 150 Greenwich St
Floor 45</t>
  </si>
  <si>
    <t>Total Warrants Outstanding</t>
  </si>
  <si>
    <t>CODE</t>
  </si>
  <si>
    <t>LEGEND</t>
  </si>
  <si>
    <t>THE SECURITIES REPRESENTED HEREBY HAVE NOT BEEN REGISTERED UNDER THE SECURITIES ACT OF 1933, AS AMENDED, OR ANY STATE SECURITIES LAWS, AND NEITHER THE SECURITIES NOR ANY INTEREST THEREIN MAY BE OFFERED, SOLD, TRANSFERRED, PLEDGED, HYPOTHECATED OR OTHERWISE DISPOSED OF UNLESS REGISTERED UNDER SUCH ACT AND ANY APPLICABLE STATE SECURITIES LAWS OR UNLESS EXEMPTIONS FROM SUCH REGISTRATION ARE, IN THE OPINION OF COUNSEL SATISFACTORY TO APEX TREASURY CORPORATION (THE "COMPANY"), AVAILABLE.
THE SECURITIES REPRESENTED HEREBY ARE SUBJECT TO ADDITIONAL RESTRICTIONS ON TRANSFEWR SET FORTH IN A LETTER AGREEMENT WITH THE COMPANY (A COPY OF WHICH MAY BE OBTAINED FROM THE COMPANY AT THE COMPANY'S PRINCIPAL PLCE OF BUSINESS WITHOUT CHARGE) AND MAY NOT BE OFFERED, SOLD, TRANSFERRED, PLEDGED, HYPOTHECATED OR OTHERWISE DISPOSED OF IN VIOLATION OF SUCH RESTRICTIONS.
SECURITIES EVIDENCED HEREBY SHALL BE ENTITLED TO REGISTRATION RIGHTS UNDER A REGISTRATION RIGHTS AGREEMENT TO BE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</si>
  <si>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ADDITIOIN, SUBJECT TO ANY ADDITIONAL LIMITATIONS ON TRANSFER DESCRIBED IN THE LETTER AGREEMENT BY AND AMONG THE COMPANY AND THE OTHER PARTIES THERETO, THE SECURITIES REPRESENTED BY THIS CERTIFICATE MAY NOT SOLD OR TRANSFERRED PRIO TO THE DATE THAT IS THIRTY (30) DAYS AFTER THE DATE UPON WHICH THE COMPANY COMPLETES IS INITIAL BUSINESS COMPANATION (AS DEFINED IN THE WARRANT AGREEMENT REFERRED TO HEREIN) EXCEPT TO A PERMITTED TRANSFEREE (AS DEFINED IN THE WARRANT AGREEMENT) WHO AGREES IN WRITING WITH THE COMPANY TO BE SUBJECT TO SUCH TRANSFER PROVISIONS.
SECURITIES EVIDENCED HEREBY AND CLASS A ORDINARY SHARES OF THE COMPANY ISSUED UPON EXERCISE OF SUCH SECURITIES SHALL BE ENTITLED BY REGISTRATION RIGHTS UNDER A REGISTRATION RIGHTS AGREEMENT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</si>
  <si>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APPLICATION STATE SECURITIES LAWS OR UNLESS EXEMPTIONS FROM SUCH REGISTRATION ARE, IN THE OPINION OF COUNSEL SATISFACTORY TO APEX TREASURY CORPORATION (THE "COMPANY"), AVAILABLE.  IN ADDITION, SUBJECT TO ANY ADDITIONAL LIMITATIONS ON TRANSFER DESCRIBED IN THE PRIVATE PLACEMENT WARRANT PURCHASE AGREEMENT BY AND AMONG THE COMPANY AND COHEN &amp; COMPANY CAPITAL MARKETS, A DIVISION OF COHEN &amp; COMPANY SECURITIES, LLC,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THESE SECURITIES ARE DEEMED UNDERWRITERS' COMPENSATION BY THE FINANCIAL INDUSTRY REGULATORY AUTHORITY ("FINRA") AND ARE SUBJECT TO LIMITATIONS IN ACCORDANCE WITH FINRA RULE 5110.
SECURITIES EVIDENCED HEREBY AND CLASS A ORDINARY SHARES OF THE COMPANY ISSUED UPON EXERCISE OF SUCH SECURITIES SHALL BE ENTITLED TO REGISTRATION RIGHTS UNDER A REGISTRATION RIGHTS AGREEMENT EXECUTED BY THE COMPANY.</t>
  </si>
  <si>
    <t>Transaction Date</t>
  </si>
  <si>
    <t>Issued Security (#)</t>
  </si>
  <si>
    <t>Type of Issuance</t>
  </si>
  <si>
    <t>Total Outstanding Shares (#)</t>
  </si>
  <si>
    <t>Total Authorized Shares (#)</t>
  </si>
  <si>
    <t>APEX Treasury Corporation</t>
  </si>
  <si>
    <t xml:space="preserve">APXT </t>
  </si>
  <si>
    <t>Class A Ordinary</t>
  </si>
  <si>
    <t>Class B Ordinary</t>
  </si>
  <si>
    <t>Shareholder Statement</t>
  </si>
  <si>
    <t>As of November 18, 2025</t>
  </si>
  <si>
    <t>TIN: Not Available</t>
  </si>
  <si>
    <t>c/o APEX TREASURY CORPORATION</t>
  </si>
  <si>
    <t>4 World Trade Center
150 Greenwich St Floor 45
New York, NY 10007</t>
  </si>
  <si>
    <t>rgerety@clearstreet.io</t>
  </si>
  <si>
    <t>Account: #11</t>
  </si>
  <si>
    <t>CUSIP</t>
  </si>
  <si>
    <t>Recent Transaction</t>
  </si>
  <si>
    <t>Securities Outstanding</t>
  </si>
  <si>
    <t>Price Per Share</t>
  </si>
  <si>
    <t>Market Value</t>
  </si>
  <si>
    <t>Restrictions*</t>
  </si>
  <si>
    <t>Private Placement Warrants</t>
  </si>
  <si>
    <t>G04104116 </t>
  </si>
  <si>
    <t>CREDIT - IPO</t>
  </si>
  <si>
    <t>C</t>
  </si>
  <si>
    <t>*Restrictions:</t>
  </si>
  <si>
    <t>A</t>
  </si>
  <si>
    <t>THE SECURITIES REPRESENTED HEREBY HAVE NOT BEEN REGISTERED UNDER THE SECURITIES ACT OF 1933, AS AMENDED, OR ANY STATE SECURITIES LAWS, AND NEITHER THE SECURITIES NOR ANY INTEREST THEREIN MAY BE OFFERED, SOLD, TRANSFERRED, PLEDGED, HYPOTHECATED OR OTHERWISE DISPOSED OF UNLESS REGISTERED UNDER SUCH ACT AND ANY APPLICABLE STATE SECURITIES LAWS OR UNLESS EXEMPTIONS FROM SUCH REGISTRATION ARE, IN THE OPINION OF COUNSEL SATISFACTORY TO APEX TREASURY CORPORATION (THE “COMPANY”), AVAILABLE.
THE SECURITIES REPRESENTED HEREBY ARE SUBJECT TO ADDITIONAL RESTRICTIONS ON TRANSFER SET FORTH IN A LETTER AGREEMENT WITH THE COMPANY (A COPY OF WHICH MAY BE OBTAINED FROM THE COMPANY AT THE COMPANY’S PRINCIPAL PLACE OF BUSINESS WITHOUT CHARGE) AND MAY NOT BE OFFERED, SOLD, TRANSFERRED, PLEDGED, HYPOTHECATED OR OTHERWISE DISPOSED OF IN VIOLATION OF SUCH RESTRICTIONS.
SECURITIES EVIDENCED HEREBY SHALL BE ENTITLED TO REGISTRATION RIGHTS UNDER A REGISTRATION RIGHTS AGREEMENT TO BE EXECUTED BY THE COMPANY.</t>
  </si>
  <si>
    <t>B</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</si>
  <si>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ADDITION, SUBJECT TO ANY ADDITIONAL LIMITATIONS ON TRANSFER DESCRIBED IN THE LETTER AGREEMENT BY AND AMONG THE COMPANY AND THE OTHER PARTIES THERETO,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SECURITIES EVIDENCED HEREBY AND CLASS A ORDINARY SHARES OF THE COMPANY ISSUED UPON EXERCISE OF SUCH SECURITIES SHALL BE ENTITLED TO REGISTRATION RIGHTS UNDER A REGISTRATION RIGHTS AGREEMENT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</si>
  <si>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ADDITION, SUBJECT TO ANY ADDITIONAL LIMITATIONS ON TRANSFER DESCRIBED IN THE PRIVATE PLACEMENT WARRANTS AGREEMENT BY AND AMONG THE COMPANY, COHEN &amp; COMPANY CAPITAL MARKETS, A DIVISION OF COHEN &amp; COMPANY SECURITIES, LLC, AND CLEAR STREET LLC,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THESE SECURITIES ARE DEEMED UNDERWRITERS’ COMPENSATION BY THE FINANCIAL INDUSTRY REGULATORY AUTHORITY (“FINRA”) AND ARE SUBJECT TO LIMITATIONS IN ACCORDANCE WITH FINRA RULE 5110.
SECURITIES EVIDENCED HEREBY AND CLASS A ORDINARY SHARES OF THE COMPANY ISSUED UPON EXERCISE OF SUCH SECURITIES SHALL BE ENTITLED TO REGISTRATION RIGHTS UNDER A REGISTRATION RIGHTS AGREEMENT EXECUTED BY THE COMPANY.</t>
  </si>
  <si>
    <t>If you have any questions, please do not hesistate to reach out to us at info@useefficiency.com</t>
  </si>
  <si>
    <t>EFFICIENCY TRANSFER JOURNAL</t>
  </si>
  <si>
    <t>ISSUER:</t>
  </si>
  <si>
    <t>SECURITY TYPE</t>
  </si>
  <si>
    <t>UNITS</t>
  </si>
  <si>
    <t>Transaction Date:</t>
  </si>
  <si>
    <t>CUSIP:</t>
  </si>
  <si>
    <t>ACCOUNT #</t>
  </si>
  <si>
    <t>REGISTRATION</t>
  </si>
  <si>
    <t>CERTIFICATE #</t>
  </si>
  <si>
    <t>TICKET #</t>
  </si>
  <si>
    <t>DATE</t>
  </si>
  <si>
    <t>DEBIT</t>
  </si>
  <si>
    <t>SHARES</t>
  </si>
  <si>
    <t>CREDIT</t>
  </si>
  <si>
    <t>CEDE &amp; CO</t>
  </si>
  <si>
    <t>BOOK ENTRY</t>
  </si>
  <si>
    <t>TOTAL UNITS</t>
  </si>
  <si>
    <t>EFFICIENCY INC TRANSFER JOURNAL</t>
  </si>
  <si>
    <t>SECURITY TYPE:</t>
  </si>
  <si>
    <t>CLASS B ORDINARY SHARES</t>
  </si>
  <si>
    <t>Sykes, Paul</t>
  </si>
  <si>
    <t>Mann, William</t>
  </si>
  <si>
    <t>Mikulecky, David</t>
  </si>
  <si>
    <t>Liu, Betty</t>
  </si>
  <si>
    <t>Linden, John</t>
  </si>
  <si>
    <t>Ma, Richard</t>
  </si>
  <si>
    <t>Ng, Kester</t>
  </si>
  <si>
    <t xml:space="preserve">  </t>
  </si>
  <si>
    <t>TOTAL SHARES</t>
  </si>
  <si>
    <t>WARRANTS</t>
  </si>
  <si>
    <t>Cohen &amp; Company Capital Markets, a division of Chogen &amp; Company Securities LLC</t>
  </si>
  <si>
    <t>TOTAL WARRANTS</t>
  </si>
  <si>
    <t>CLASS A ORDINARY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</si>
</sst>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_(* #,##0_);_(* \(#,##0\);_(* &quot;-&quot;??_);_(@_)"/>
    <numFmt numFmtId="166" formatCode="_(* #,##0.0_);_(* \(#,##0.0\);_(* &quot;-&quot;??_);_(@_)"/>
  </numFmts>
  <fonts count="22">
    <font>
      <sz val="11"/>
      <color theme="1"/>
      <name val="Calibri"/>
      <family val="2"/>
      <scheme val="minor"/>
    </font>
    <font>
      <sz val="10"/>
      <color theme="1"/>
      <name val="Arial"/>
      <family val="2"/>
    </font>
    <font>
      <b/>
      <sz val="10"/>
      <color theme="1"/>
      <name val="Arial"/>
      <family val="2"/>
    </font>
    <font>
      <sz val="10"/>
      <color rgb="FF000000"/>
      <name val="Calibri"/>
      <family val="2"/>
      <scheme val="minor"/>
    </font>
    <font>
      <b/>
      <sz val="10"/>
      <color theme="1"/>
      <name val="Calibri"/>
      <family val="2"/>
      <scheme val="minor"/>
    </font>
    <font>
      <sz val="10"/>
      <color theme="1"/>
      <name val="Calibri"/>
      <family val="2"/>
      <scheme val="minor"/>
    </font>
    <font>
      <sz val="12"/>
      <color rgb="FF000000"/>
      <name val="Arial"/>
      <family val="2"/>
    </font>
    <font>
      <sz val="10"/>
      <color rgb="FF000000"/>
      <name val="Arial"/>
      <family val="2"/>
    </font>
    <font>
      <b/>
      <sz val="10"/>
      <color rgb="FF000000"/>
      <name val="Arial"/>
      <family val="2"/>
    </font>
    <font>
      <b/>
      <sz val="11"/>
      <color theme="1"/>
      <name val="Calibri"/>
      <family val="2"/>
      <scheme val="minor"/>
    </font>
    <font>
      <u/>
      <sz val="11"/>
      <color theme="10"/>
      <name val="Calibri"/>
      <family val="2"/>
      <scheme val="minor"/>
    </font>
    <font>
      <sz val="11"/>
      <color rgb="FF000000"/>
      <name val="Calibri"/>
      <family val="2"/>
    </font>
    <font>
      <sz val="10"/>
      <color theme="1"/>
      <name val="Arial"/>
    </font>
    <font>
      <b/>
      <sz val="9"/>
      <color rgb="FF000000"/>
      <name val="Arial"/>
      <family val="2"/>
    </font>
    <font>
      <sz val="9"/>
      <color rgb="FF000000"/>
      <name val="Arial"/>
      <family val="2"/>
    </font>
    <font>
      <b/>
      <sz val="8"/>
      <color rgb="FF000000"/>
      <name val="Arial"/>
      <family val="2"/>
    </font>
    <font>
      <sz val="8"/>
      <color rgb="FF000000"/>
      <name val="Arial"/>
      <family val="2"/>
    </font>
    <font>
      <sz val="14"/>
      <color rgb="FF000000"/>
      <name val="Arial"/>
      <family val="2"/>
    </font>
    <font>
      <sz val="12"/>
      <color rgb="FF000000"/>
      <name val="Aptos Narrow"/>
      <family val="2"/>
      <scheme val="minor"/>
    </font>
    <font>
      <b/>
      <sz val="14"/>
      <color rgb="FF000000"/>
      <name val="Arial"/>
      <family val="2"/>
    </font>
    <font>
      <u/>
      <sz val="14"/>
      <color rgb="FF000000"/>
      <name val="Arial"/>
      <family val="2"/>
    </font>
    <font>
      <i/>
      <sz val="14"/>
      <color rgb="FF000000"/>
      <name val="Arial"/>
      <family val="2"/>
    </font>
  </fonts>
  <fills count="8">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rgb="FF00B050"/>
        <bgColor indexed="64"/>
      </patternFill>
    </fill>
    <fill>
      <patternFill patternType="solid">
        <fgColor theme="1"/>
        <bgColor indexed="64"/>
      </patternFill>
    </fill>
    <fill>
      <patternFill patternType="solid">
        <fgColor theme="6"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rgb="FF000000"/>
      </left>
      <right style="thin">
        <color rgb="FF000000"/>
      </right>
      <top/>
      <bottom/>
      <diagonal/>
    </border>
    <border>
      <left/>
      <right style="medium">
        <color indexed="64"/>
      </right>
      <top/>
      <bottom/>
      <diagonal/>
    </border>
    <border>
      <left style="medium">
        <color indexed="64"/>
      </left>
      <right style="medium">
        <color indexed="64"/>
      </right>
      <top/>
      <bottom/>
      <diagonal/>
    </border>
    <border>
      <left style="thin">
        <color rgb="FF000000"/>
      </left>
      <right style="thin">
        <color rgb="FF000000"/>
      </right>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 fillId="0" borderId="0"/>
    <xf numFmtId="43" fontId="3" fillId="0" borderId="0" applyFont="0" applyFill="0" applyBorder="0" applyAlignment="0" applyProtection="0"/>
    <xf numFmtId="0" fontId="10" fillId="0" borderId="0" applyNumberFormat="0" applyFill="0" applyBorder="0" applyAlignment="0" applyProtection="0"/>
  </cellStyleXfs>
  <cellXfs count="132">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4" fillId="0" borderId="0" xfId="1" applyFont="1" applyAlignment="1">
      <alignment horizontal="center"/>
    </xf>
    <xf numFmtId="0" fontId="3" fillId="0" borderId="0" xfId="1"/>
    <xf numFmtId="0" fontId="5" fillId="0" borderId="0" xfId="1" applyFont="1"/>
    <xf numFmtId="0" fontId="5" fillId="0" borderId="0" xfId="1" applyFont="1" applyAlignment="1">
      <alignment horizontal="center"/>
    </xf>
    <xf numFmtId="0" fontId="3" fillId="0" borderId="0" xfId="1" applyAlignment="1">
      <alignment horizontal="center"/>
    </xf>
    <xf numFmtId="3" fontId="5" fillId="0" borderId="0" xfId="1" applyNumberFormat="1" applyFont="1"/>
    <xf numFmtId="0" fontId="5" fillId="3" borderId="0" xfId="1" applyFont="1" applyFill="1"/>
    <xf numFmtId="0" fontId="5" fillId="3" borderId="0" xfId="1" applyFont="1" applyFill="1" applyAlignment="1">
      <alignment horizontal="center"/>
    </xf>
    <xf numFmtId="3" fontId="5" fillId="3" borderId="0" xfId="1" applyNumberFormat="1" applyFont="1" applyFill="1"/>
    <xf numFmtId="164" fontId="5" fillId="0" borderId="0" xfId="1" applyNumberFormat="1" applyFont="1"/>
    <xf numFmtId="0" fontId="2" fillId="0" borderId="0" xfId="1" applyFont="1" applyAlignment="1">
      <alignment horizontal="center"/>
    </xf>
    <xf numFmtId="0" fontId="7" fillId="0" borderId="0" xfId="1" applyFont="1"/>
    <xf numFmtId="0" fontId="1" fillId="0" borderId="0" xfId="1" applyFont="1"/>
    <xf numFmtId="0" fontId="1" fillId="0" borderId="0" xfId="1" applyFont="1" applyAlignment="1">
      <alignment horizontal="center"/>
    </xf>
    <xf numFmtId="14" fontId="1" fillId="0" borderId="0" xfId="1" applyNumberFormat="1" applyFont="1" applyAlignment="1">
      <alignment horizontal="center"/>
    </xf>
    <xf numFmtId="0" fontId="7" fillId="0" borderId="0" xfId="1" applyFont="1" applyAlignment="1">
      <alignment horizontal="center"/>
    </xf>
    <xf numFmtId="3" fontId="1" fillId="0" borderId="0" xfId="1" applyNumberFormat="1" applyFont="1"/>
    <xf numFmtId="3" fontId="7" fillId="0" borderId="0" xfId="1" applyNumberFormat="1" applyFont="1"/>
    <xf numFmtId="3" fontId="1" fillId="0" borderId="1" xfId="0" applyNumberFormat="1" applyFont="1" applyBorder="1" applyAlignment="1">
      <alignment wrapText="1"/>
    </xf>
    <xf numFmtId="0" fontId="6" fillId="0" borderId="0" xfId="1" applyFont="1"/>
    <xf numFmtId="0" fontId="8" fillId="0" borderId="0" xfId="1" applyFont="1"/>
    <xf numFmtId="0" fontId="9" fillId="0" borderId="0" xfId="0" applyFont="1"/>
    <xf numFmtId="0" fontId="1" fillId="0" borderId="0" xfId="1" applyFont="1" applyAlignment="1">
      <alignment wrapText="1"/>
    </xf>
    <xf numFmtId="0" fontId="1" fillId="0" borderId="0" xfId="1" quotePrefix="1" applyFont="1"/>
    <xf numFmtId="0" fontId="1" fillId="0" borderId="0" xfId="1" applyFont="1" applyAlignment="1">
      <alignment horizontal="left"/>
    </xf>
    <xf numFmtId="0" fontId="7" fillId="0" borderId="0" xfId="1" applyFont="1" applyAlignment="1">
      <alignment horizontal="left"/>
    </xf>
    <xf numFmtId="0" fontId="1" fillId="2" borderId="0" xfId="1" applyFont="1" applyFill="1" applyAlignment="1">
      <alignment horizontal="center"/>
    </xf>
    <xf numFmtId="3" fontId="1" fillId="2" borderId="0" xfId="1" applyNumberFormat="1" applyFont="1" applyFill="1"/>
    <xf numFmtId="0" fontId="10" fillId="0" borderId="0" xfId="3"/>
    <xf numFmtId="14" fontId="7" fillId="0" borderId="0" xfId="1" applyNumberFormat="1" applyFont="1"/>
    <xf numFmtId="0" fontId="11" fillId="0" borderId="1" xfId="0" applyFont="1" applyBorder="1"/>
    <xf numFmtId="0" fontId="11" fillId="0" borderId="2" xfId="0" applyFont="1" applyBorder="1" applyAlignment="1">
      <alignment wrapText="1"/>
    </xf>
    <xf numFmtId="0" fontId="11" fillId="0" borderId="3" xfId="0" applyFont="1" applyBorder="1"/>
    <xf numFmtId="0" fontId="11" fillId="0" borderId="4" xfId="0" applyFont="1" applyBorder="1" applyAlignment="1">
      <alignment wrapText="1"/>
    </xf>
    <xf numFmtId="0" fontId="11" fillId="0" borderId="4" xfId="0" applyFont="1" applyBorder="1"/>
    <xf numFmtId="0" fontId="1" fillId="4" borderId="1" xfId="0" applyFont="1" applyFill="1" applyBorder="1"/>
    <xf numFmtId="3" fontId="3" fillId="0" borderId="0" xfId="1" applyNumberFormat="1"/>
    <xf numFmtId="0" fontId="3" fillId="0" borderId="0" xfId="1" applyAlignment="1">
      <alignment horizontal="center" vertical="center" wrapText="1"/>
    </xf>
    <xf numFmtId="15" fontId="11" fillId="0" borderId="4" xfId="0" applyNumberFormat="1" applyFont="1" applyBorder="1"/>
    <xf numFmtId="0" fontId="8" fillId="0" borderId="0" xfId="1" applyFont="1" applyAlignment="1">
      <alignment horizontal="center"/>
    </xf>
    <xf numFmtId="0" fontId="7" fillId="5" borderId="0" xfId="1" applyFont="1" applyFill="1"/>
    <xf numFmtId="0" fontId="12" fillId="0" borderId="1" xfId="0" applyFont="1" applyBorder="1"/>
    <xf numFmtId="0" fontId="1" fillId="6" borderId="0" xfId="1" applyFont="1" applyFill="1"/>
    <xf numFmtId="0" fontId="1" fillId="6" borderId="0" xfId="1" applyFont="1" applyFill="1" applyAlignment="1">
      <alignment horizontal="center"/>
    </xf>
    <xf numFmtId="14" fontId="1" fillId="6" borderId="0" xfId="1" applyNumberFormat="1" applyFont="1" applyFill="1" applyAlignment="1">
      <alignment horizontal="center"/>
    </xf>
    <xf numFmtId="0" fontId="7" fillId="6" borderId="0" xfId="1" applyFont="1" applyFill="1" applyAlignment="1">
      <alignment horizontal="center"/>
    </xf>
    <xf numFmtId="3" fontId="1" fillId="6" borderId="0" xfId="1" applyNumberFormat="1" applyFont="1" applyFill="1"/>
    <xf numFmtId="0" fontId="7" fillId="6" borderId="0" xfId="1" applyFont="1" applyFill="1"/>
    <xf numFmtId="0" fontId="7" fillId="6" borderId="0" xfId="1" applyFont="1" applyFill="1" applyAlignment="1">
      <alignment horizontal="left"/>
    </xf>
    <xf numFmtId="0" fontId="0" fillId="0" borderId="5" xfId="0" applyBorder="1"/>
    <xf numFmtId="0" fontId="12" fillId="0" borderId="6" xfId="0" applyFont="1" applyBorder="1"/>
    <xf numFmtId="0" fontId="0" fillId="0" borderId="5" xfId="0" applyBorder="1" applyAlignment="1">
      <alignment wrapText="1"/>
    </xf>
    <xf numFmtId="0" fontId="0" fillId="0" borderId="7" xfId="0" applyBorder="1"/>
    <xf numFmtId="0" fontId="0" fillId="0" borderId="7" xfId="0" applyBorder="1" applyAlignment="1">
      <alignment wrapText="1"/>
    </xf>
    <xf numFmtId="0" fontId="7" fillId="0" borderId="0" xfId="1" applyFont="1" applyAlignment="1">
      <alignment horizontal="left" wrapText="1"/>
    </xf>
    <xf numFmtId="0" fontId="13" fillId="0" borderId="0" xfId="1" applyFont="1"/>
    <xf numFmtId="0" fontId="14" fillId="0" borderId="0" xfId="1" applyFont="1"/>
    <xf numFmtId="0" fontId="13" fillId="0" borderId="0" xfId="1" applyFont="1" applyAlignment="1">
      <alignment horizontal="left"/>
    </xf>
    <xf numFmtId="14" fontId="13" fillId="0" borderId="0" xfId="1" applyNumberFormat="1" applyFont="1"/>
    <xf numFmtId="0" fontId="2" fillId="0" borderId="0" xfId="1" applyFont="1" applyAlignment="1">
      <alignment horizontal="left"/>
    </xf>
    <xf numFmtId="0" fontId="13" fillId="0" borderId="0" xfId="1" applyFont="1" applyAlignment="1">
      <alignment horizontal="center"/>
    </xf>
    <xf numFmtId="0" fontId="13" fillId="0" borderId="7" xfId="1" applyFont="1" applyBorder="1" applyAlignment="1">
      <alignment horizontal="center"/>
    </xf>
    <xf numFmtId="165" fontId="13" fillId="0" borderId="8" xfId="2" applyNumberFormat="1" applyFont="1" applyBorder="1" applyAlignment="1">
      <alignment horizontal="center"/>
    </xf>
    <xf numFmtId="0" fontId="13" fillId="0" borderId="9" xfId="1" applyFont="1" applyBorder="1" applyAlignment="1">
      <alignment horizontal="center"/>
    </xf>
    <xf numFmtId="165" fontId="13" fillId="0" borderId="9" xfId="2" applyNumberFormat="1" applyFont="1" applyBorder="1" applyAlignment="1">
      <alignment horizontal="center"/>
    </xf>
    <xf numFmtId="165" fontId="14" fillId="0" borderId="9" xfId="2" applyNumberFormat="1" applyFont="1" applyBorder="1"/>
    <xf numFmtId="0" fontId="14" fillId="0" borderId="10" xfId="1" applyFont="1" applyBorder="1"/>
    <xf numFmtId="165" fontId="14" fillId="0" borderId="11" xfId="2" applyNumberFormat="1" applyFont="1" applyBorder="1"/>
    <xf numFmtId="0" fontId="14" fillId="0" borderId="12" xfId="1" applyFont="1" applyBorder="1"/>
    <xf numFmtId="14" fontId="14" fillId="0" borderId="0" xfId="1" applyNumberFormat="1" applyFont="1"/>
    <xf numFmtId="165" fontId="14" fillId="0" borderId="12" xfId="2" applyNumberFormat="1" applyFont="1" applyBorder="1"/>
    <xf numFmtId="0" fontId="1" fillId="0" borderId="10" xfId="1" applyFont="1" applyBorder="1"/>
    <xf numFmtId="0" fontId="1" fillId="0" borderId="0" xfId="1" applyFont="1" applyAlignment="1">
      <alignment horizontal="left" wrapText="1"/>
    </xf>
    <xf numFmtId="0" fontId="7" fillId="0" borderId="10" xfId="1" applyFont="1" applyBorder="1"/>
    <xf numFmtId="0" fontId="15" fillId="0" borderId="0" xfId="1" applyFont="1"/>
    <xf numFmtId="0" fontId="16" fillId="0" borderId="10" xfId="1" applyFont="1" applyBorder="1"/>
    <xf numFmtId="165" fontId="16" fillId="0" borderId="11" xfId="2" applyNumberFormat="1" applyFont="1" applyBorder="1"/>
    <xf numFmtId="0" fontId="16" fillId="0" borderId="12" xfId="1" applyFont="1" applyBorder="1"/>
    <xf numFmtId="165" fontId="16" fillId="0" borderId="12" xfId="2" applyNumberFormat="1" applyFont="1" applyBorder="1"/>
    <xf numFmtId="0" fontId="16" fillId="0" borderId="0" xfId="1" applyFont="1"/>
    <xf numFmtId="0" fontId="14" fillId="0" borderId="13" xfId="1" applyFont="1" applyBorder="1"/>
    <xf numFmtId="165" fontId="14" fillId="0" borderId="14" xfId="2" applyNumberFormat="1" applyFont="1" applyBorder="1"/>
    <xf numFmtId="0" fontId="14" fillId="0" borderId="15" xfId="1" applyFont="1" applyBorder="1"/>
    <xf numFmtId="165" fontId="14" fillId="0" borderId="15" xfId="2" applyNumberFormat="1" applyFont="1" applyBorder="1"/>
    <xf numFmtId="165" fontId="14" fillId="0" borderId="0" xfId="2" applyNumberFormat="1" applyFont="1" applyBorder="1"/>
    <xf numFmtId="0" fontId="13" fillId="0" borderId="16" xfId="1" applyFont="1" applyBorder="1" applyAlignment="1">
      <alignment horizontal="center"/>
    </xf>
    <xf numFmtId="0" fontId="7" fillId="0" borderId="17" xfId="1" applyFont="1" applyBorder="1"/>
    <xf numFmtId="0" fontId="14" fillId="0" borderId="17" xfId="1" applyFont="1" applyBorder="1"/>
    <xf numFmtId="0" fontId="14" fillId="0" borderId="18" xfId="1" applyFont="1" applyBorder="1"/>
    <xf numFmtId="165" fontId="14" fillId="0" borderId="16" xfId="2" applyNumberFormat="1" applyFont="1" applyBorder="1"/>
    <xf numFmtId="3" fontId="1" fillId="0" borderId="17" xfId="1" applyNumberFormat="1" applyFont="1" applyBorder="1"/>
    <xf numFmtId="165" fontId="14" fillId="0" borderId="17" xfId="2" applyNumberFormat="1" applyFont="1" applyBorder="1"/>
    <xf numFmtId="165" fontId="14" fillId="0" borderId="18" xfId="2" applyNumberFormat="1" applyFont="1" applyBorder="1"/>
    <xf numFmtId="0" fontId="13" fillId="0" borderId="19" xfId="1" applyFont="1" applyBorder="1" applyAlignment="1">
      <alignment horizontal="center"/>
    </xf>
    <xf numFmtId="0" fontId="14" fillId="0" borderId="20" xfId="1" applyFont="1" applyBorder="1"/>
    <xf numFmtId="0" fontId="14" fillId="0" borderId="21" xfId="1" applyFont="1" applyBorder="1"/>
    <xf numFmtId="0" fontId="7" fillId="0" borderId="0" xfId="1" applyFont="1" applyAlignment="1">
      <alignment horizontal="center" vertical="center"/>
    </xf>
    <xf numFmtId="165" fontId="1" fillId="0" borderId="0" xfId="1" applyNumberFormat="1" applyFont="1"/>
    <xf numFmtId="166" fontId="7" fillId="0" borderId="0" xfId="1" applyNumberFormat="1" applyFont="1"/>
    <xf numFmtId="166" fontId="5" fillId="0" borderId="0" xfId="1" applyNumberFormat="1" applyFont="1"/>
    <xf numFmtId="14" fontId="3" fillId="0" borderId="0" xfId="1" applyNumberFormat="1"/>
    <xf numFmtId="0" fontId="17" fillId="0" borderId="0" xfId="0" applyFont="1"/>
    <xf numFmtId="0" fontId="18" fillId="0" borderId="0" xfId="1" applyFont="1"/>
    <xf numFmtId="0" fontId="17" fillId="0" borderId="0" xfId="0" applyFont="1" applyAlignment="1">
      <alignment wrapText="1"/>
    </xf>
    <xf numFmtId="0" fontId="19" fillId="0" borderId="7" xfId="0" applyFont="1" applyBorder="1" applyAlignment="1">
      <alignment horizontal="center" wrapText="1"/>
    </xf>
    <xf numFmtId="0" fontId="19" fillId="0" borderId="22" xfId="0" applyFont="1" applyBorder="1" applyAlignment="1">
      <alignment horizontal="center" wrapText="1"/>
    </xf>
    <xf numFmtId="0" fontId="17" fillId="0" borderId="5" xfId="0" applyFont="1" applyBorder="1" applyAlignment="1">
      <alignment wrapText="1"/>
    </xf>
    <xf numFmtId="0" fontId="17" fillId="0" borderId="23" xfId="0" applyFont="1" applyBorder="1" applyAlignment="1">
      <alignment horizontal="center"/>
    </xf>
    <xf numFmtId="3" fontId="17" fillId="0" borderId="23" xfId="0" applyNumberFormat="1" applyFont="1" applyBorder="1" applyAlignment="1">
      <alignment horizontal="center"/>
    </xf>
    <xf numFmtId="0" fontId="20" fillId="0" borderId="0" xfId="0" applyFont="1"/>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17" fillId="0" borderId="0" xfId="1" applyFont="1"/>
    <xf numFmtId="0" fontId="21" fillId="0" borderId="0" xfId="1" applyFont="1" applyAlignment="1">
      <alignment horizontal="centerContinuous" vertical="center"/>
    </xf>
    <xf numFmtId="0" fontId="17" fillId="0" borderId="0" xfId="1" applyFont="1" applyAlignment="1">
      <alignment horizontal="centerContinuous" vertical="center"/>
    </xf>
    <xf numFmtId="0" fontId="19" fillId="7" borderId="3" xfId="0" applyFont="1" applyFill="1" applyBorder="1" applyAlignment="1">
      <alignment horizontal="center" vertical="center"/>
    </xf>
    <xf numFmtId="14" fontId="7" fillId="0" borderId="0" xfId="1" applyNumberFormat="1" applyFont="1" applyAlignment="1">
      <alignment horizontal="center"/>
    </xf>
    <xf numFmtId="0" fontId="21" fillId="0" borderId="0" xfId="0" applyFont="1" applyAlignment="1">
      <alignment horizontal="center"/>
    </xf>
    <xf numFmtId="0" fontId="17" fillId="0" borderId="0" xfId="0" applyFont="1" applyAlignment="1">
      <alignment horizontal="center"/>
    </xf>
    <xf numFmtId="0" fontId="17" fillId="0" borderId="26"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17" fillId="7" borderId="26" xfId="0" applyFont="1" applyFill="1" applyBorder="1" applyAlignment="1">
      <alignment horizontal="center" vertical="center" wrapText="1"/>
    </xf>
    <xf numFmtId="0" fontId="17" fillId="7" borderId="24" xfId="0" applyFont="1" applyFill="1" applyBorder="1" applyAlignment="1">
      <alignment horizontal="center" vertical="center" wrapText="1"/>
    </xf>
    <xf numFmtId="0" fontId="17" fillId="7" borderId="25" xfId="0" applyFont="1" applyFill="1" applyBorder="1" applyAlignment="1">
      <alignment horizontal="center" vertical="center" wrapText="1"/>
    </xf>
  </cellXfs>
  <cellStyles count="4">
    <cellStyle name="Comma 2" xfId="2" xr:uid="{EA0346A2-A1C9-784C-BDD8-9BB341C979EB}"/>
    <cellStyle name="Hyperlink" xfId="3" builtinId="8"/>
    <cellStyle name="Normal" xfId="0" builtinId="0"/>
    <cellStyle name="Normal 2" xfId="1" xr:uid="{626FD237-C924-894E-BEB8-0B02A8096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771525</xdr:colOff>
      <xdr:row>26</xdr:row>
      <xdr:rowOff>0</xdr:rowOff>
    </xdr:from>
    <xdr:to>
      <xdr:col>5</xdr:col>
      <xdr:colOff>723900</xdr:colOff>
      <xdr:row>28</xdr:row>
      <xdr:rowOff>142875</xdr:rowOff>
    </xdr:to>
    <xdr:pic>
      <xdr:nvPicPr>
        <xdr:cNvPr id="2" name="Picture 1">
          <a:extLst>
            <a:ext uri="{FF2B5EF4-FFF2-40B4-BE49-F238E27FC236}">
              <a16:creationId xmlns:a16="http://schemas.microsoft.com/office/drawing/2014/main" id="{CA977739-2A71-480D-982F-C19F9E4B49F2}"/>
            </a:ext>
          </a:extLst>
        </xdr:cNvPr>
        <xdr:cNvPicPr>
          <a:picLocks noChangeAspect="1"/>
        </xdr:cNvPicPr>
      </xdr:nvPicPr>
      <xdr:blipFill>
        <a:blip xmlns:r="http://schemas.openxmlformats.org/officeDocument/2006/relationships" r:embed="rId1"/>
        <a:stretch>
          <a:fillRect/>
        </a:stretch>
      </xdr:blipFill>
      <xdr:spPr>
        <a:xfrm>
          <a:off x="7886700" y="14087475"/>
          <a:ext cx="2143125"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betty@dandzmedia.com" TargetMode="External"/><Relationship Id="rId7" Type="http://schemas.openxmlformats.org/officeDocument/2006/relationships/hyperlink" Target="mailto:richard@quantstamp.com" TargetMode="External"/><Relationship Id="rId2" Type="http://schemas.openxmlformats.org/officeDocument/2006/relationships/hyperlink" Target="mailto:dmikulecky80@gmail.com" TargetMode="External"/><Relationship Id="rId1" Type="http://schemas.openxmlformats.org/officeDocument/2006/relationships/hyperlink" Target="mailto:paul@apextreasurycorp.com" TargetMode="External"/><Relationship Id="rId6" Type="http://schemas.openxmlformats.org/officeDocument/2006/relationships/hyperlink" Target="mailto:bill@harmoniqinsights.com" TargetMode="External"/><Relationship Id="rId5" Type="http://schemas.openxmlformats.org/officeDocument/2006/relationships/hyperlink" Target="mailto:kng@gre-inv.com" TargetMode="External"/><Relationship Id="rId4" Type="http://schemas.openxmlformats.org/officeDocument/2006/relationships/hyperlink" Target="mailto:john@mythical.game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rgerety@clearstreet.i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BF52-C53C-4E75-A039-E4ED9CB23D24}">
  <dimension ref="A1:D55"/>
  <sheetViews>
    <sheetView zoomScale="120" zoomScaleNormal="120" workbookViewId="0">
      <selection activeCell="B46" sqref="B46:B50"/>
    </sheetView>
  </sheetViews>
  <sheetFormatPr defaultColWidth="8.85546875" defaultRowHeight="15"/>
  <cols>
    <col min="1" max="1" width="44.42578125" customWidth="1"/>
    <col min="2" max="2" width="47" customWidth="1"/>
    <col min="3" max="3" width="40.85546875" customWidth="1"/>
  </cols>
  <sheetData>
    <row r="1" spans="1:4">
      <c r="A1" s="1" t="s">
        <v>0</v>
      </c>
      <c r="B1" s="2" t="s">
        <v>1</v>
      </c>
      <c r="C1" s="1"/>
      <c r="D1" s="1"/>
    </row>
    <row r="2" spans="1:4">
      <c r="A2" s="1"/>
      <c r="B2" s="1"/>
      <c r="C2" s="1"/>
      <c r="D2" s="1"/>
    </row>
    <row r="3" spans="1:4" ht="54" customHeight="1">
      <c r="A3" s="37" t="s">
        <v>2</v>
      </c>
      <c r="B3" s="38" t="s">
        <v>3</v>
      </c>
      <c r="C3" s="38" t="s">
        <v>4</v>
      </c>
      <c r="D3" s="1"/>
    </row>
    <row r="4" spans="1:4" ht="30.75">
      <c r="A4" s="39" t="s">
        <v>5</v>
      </c>
      <c r="B4" s="40" t="s">
        <v>6</v>
      </c>
      <c r="C4" s="40" t="s">
        <v>7</v>
      </c>
      <c r="D4" s="1"/>
    </row>
    <row r="5" spans="1:4">
      <c r="A5" s="39" t="s">
        <v>8</v>
      </c>
      <c r="B5" s="41" t="s">
        <v>9</v>
      </c>
      <c r="C5" s="41" t="s">
        <v>10</v>
      </c>
      <c r="D5" s="1"/>
    </row>
    <row r="6" spans="1:4">
      <c r="A6" s="39" t="s">
        <v>11</v>
      </c>
      <c r="B6" s="41" t="s">
        <v>12</v>
      </c>
      <c r="C6" s="41" t="s">
        <v>10</v>
      </c>
      <c r="D6" s="1"/>
    </row>
    <row r="7" spans="1:4" ht="60.75">
      <c r="A7" s="39" t="s">
        <v>13</v>
      </c>
      <c r="B7" s="40" t="s">
        <v>14</v>
      </c>
      <c r="C7" s="41" t="s">
        <v>10</v>
      </c>
      <c r="D7" s="1"/>
    </row>
    <row r="8" spans="1:4">
      <c r="A8" s="39" t="s">
        <v>15</v>
      </c>
      <c r="B8" s="41" t="s">
        <v>16</v>
      </c>
      <c r="C8" s="41" t="s">
        <v>10</v>
      </c>
      <c r="D8" s="1"/>
    </row>
    <row r="9" spans="1:4">
      <c r="A9" s="39" t="s">
        <v>17</v>
      </c>
      <c r="B9" s="40" t="s">
        <v>18</v>
      </c>
      <c r="C9" s="41" t="s">
        <v>10</v>
      </c>
      <c r="D9" s="1"/>
    </row>
    <row r="10" spans="1:4">
      <c r="A10" s="39" t="s">
        <v>19</v>
      </c>
      <c r="B10" s="41" t="s">
        <v>20</v>
      </c>
      <c r="C10" s="41" t="s">
        <v>10</v>
      </c>
      <c r="D10" s="1"/>
    </row>
    <row r="11" spans="1:4">
      <c r="A11" s="39" t="s">
        <v>21</v>
      </c>
      <c r="B11" s="41" t="s">
        <v>22</v>
      </c>
      <c r="C11" s="41" t="s">
        <v>10</v>
      </c>
      <c r="D11" s="1"/>
    </row>
    <row r="12" spans="1:4">
      <c r="A12" s="39" t="s">
        <v>23</v>
      </c>
      <c r="B12" s="41" t="s">
        <v>24</v>
      </c>
      <c r="C12" s="45"/>
      <c r="D12" s="1"/>
    </row>
    <row r="13" spans="1:4">
      <c r="A13" s="39" t="s">
        <v>25</v>
      </c>
      <c r="B13" s="41" t="s">
        <v>26</v>
      </c>
      <c r="C13" s="41"/>
      <c r="D13" s="1"/>
    </row>
    <row r="14" spans="1:4">
      <c r="A14" s="39" t="s">
        <v>27</v>
      </c>
      <c r="B14" s="41" t="s">
        <v>28</v>
      </c>
      <c r="C14" s="41"/>
      <c r="D14" s="1"/>
    </row>
    <row r="15" spans="1:4">
      <c r="A15" s="39" t="s">
        <v>29</v>
      </c>
      <c r="B15" s="41" t="s">
        <v>30</v>
      </c>
      <c r="C15" s="41" t="s">
        <v>31</v>
      </c>
      <c r="D15" s="1"/>
    </row>
    <row r="16" spans="1:4">
      <c r="A16" s="39" t="s">
        <v>32</v>
      </c>
      <c r="B16" s="41" t="s">
        <v>33</v>
      </c>
      <c r="C16" s="41" t="s">
        <v>34</v>
      </c>
      <c r="D16" s="1"/>
    </row>
    <row r="17" spans="1:4" ht="15.95">
      <c r="A17" s="39" t="s">
        <v>35</v>
      </c>
      <c r="B17" s="40" t="s">
        <v>36</v>
      </c>
      <c r="C17" s="41" t="s">
        <v>10</v>
      </c>
      <c r="D17" s="1"/>
    </row>
    <row r="18" spans="1:4" ht="15.95">
      <c r="A18" s="39" t="s">
        <v>37</v>
      </c>
      <c r="B18" s="40" t="s">
        <v>36</v>
      </c>
      <c r="C18" s="41" t="str">
        <f>UPPER(C17)</f>
        <v> </v>
      </c>
      <c r="D18" s="1"/>
    </row>
    <row r="19" spans="1:4" ht="15.95">
      <c r="A19" s="39" t="s">
        <v>38</v>
      </c>
      <c r="B19" s="40" t="s">
        <v>39</v>
      </c>
      <c r="C19" s="41" t="s">
        <v>40</v>
      </c>
      <c r="D19" s="1"/>
    </row>
    <row r="20" spans="1:4">
      <c r="A20" s="3" t="s">
        <v>35</v>
      </c>
      <c r="B20" s="25" t="s">
        <v>41</v>
      </c>
      <c r="C20" s="3"/>
      <c r="D20" s="1"/>
    </row>
    <row r="21" spans="1:4">
      <c r="A21" s="1"/>
      <c r="B21" s="1"/>
      <c r="C21" s="1"/>
      <c r="D21" s="1"/>
    </row>
    <row r="22" spans="1:4">
      <c r="A22" s="5" t="s">
        <v>42</v>
      </c>
      <c r="B22" s="6" t="s">
        <v>43</v>
      </c>
      <c r="C22" s="5" t="s">
        <v>44</v>
      </c>
      <c r="D22" s="1"/>
    </row>
    <row r="23" spans="1:4">
      <c r="A23" s="4" t="s">
        <v>45</v>
      </c>
      <c r="B23" s="3"/>
      <c r="C23" s="3"/>
      <c r="D23" s="1"/>
    </row>
    <row r="24" spans="1:4">
      <c r="A24" s="3" t="s">
        <v>46</v>
      </c>
      <c r="B24" s="3"/>
      <c r="C24" s="3"/>
      <c r="D24" s="1"/>
    </row>
    <row r="25" spans="1:4">
      <c r="A25" s="3" t="s">
        <v>47</v>
      </c>
      <c r="B25" s="3"/>
      <c r="C25" s="3"/>
      <c r="D25" s="1"/>
    </row>
    <row r="26" spans="1:4">
      <c r="A26" s="3" t="s">
        <v>48</v>
      </c>
      <c r="B26" s="3"/>
      <c r="C26" s="3"/>
      <c r="D26" s="1"/>
    </row>
    <row r="27" spans="1:4">
      <c r="A27" s="3" t="s">
        <v>49</v>
      </c>
      <c r="B27" s="3"/>
      <c r="C27" s="3"/>
      <c r="D27" s="1"/>
    </row>
    <row r="28" spans="1:4">
      <c r="A28" s="3" t="s">
        <v>50</v>
      </c>
      <c r="B28" s="3"/>
      <c r="C28" s="3"/>
      <c r="D28" s="1"/>
    </row>
    <row r="29" spans="1:4">
      <c r="A29" s="3" t="s">
        <v>51</v>
      </c>
      <c r="B29" s="3"/>
      <c r="C29" s="3"/>
      <c r="D29" s="1"/>
    </row>
    <row r="30" spans="1:4">
      <c r="A30" s="3" t="s">
        <v>52</v>
      </c>
      <c r="B30" s="3"/>
      <c r="C30" s="3"/>
      <c r="D30" s="1"/>
    </row>
    <row r="31" spans="1:4">
      <c r="A31" s="3" t="s">
        <v>53</v>
      </c>
      <c r="B31" s="3"/>
      <c r="C31" s="3"/>
      <c r="D31" s="1"/>
    </row>
    <row r="32" spans="1:4">
      <c r="A32" s="3" t="s">
        <v>54</v>
      </c>
      <c r="B32" s="3"/>
      <c r="C32" s="3"/>
      <c r="D32" s="1"/>
    </row>
    <row r="33" spans="1:4">
      <c r="A33" s="3" t="s">
        <v>55</v>
      </c>
      <c r="B33" s="3"/>
      <c r="C33" s="3"/>
      <c r="D33" s="1"/>
    </row>
    <row r="34" spans="1:4">
      <c r="A34" s="3" t="s">
        <v>56</v>
      </c>
      <c r="B34" s="3"/>
      <c r="C34" s="3"/>
      <c r="D34" s="1"/>
    </row>
    <row r="35" spans="1:4">
      <c r="A35" s="3" t="s">
        <v>57</v>
      </c>
      <c r="B35" s="3"/>
      <c r="C35" s="3"/>
      <c r="D35" s="1"/>
    </row>
    <row r="36" spans="1:4">
      <c r="A36" s="3" t="s">
        <v>58</v>
      </c>
      <c r="B36" s="3"/>
      <c r="C36" s="3"/>
      <c r="D36" s="1"/>
    </row>
    <row r="37" spans="1:4">
      <c r="A37" s="3" t="s">
        <v>59</v>
      </c>
      <c r="B37" s="3"/>
      <c r="C37" s="3"/>
      <c r="D37" s="1"/>
    </row>
    <row r="38" spans="1:4">
      <c r="A38" s="3" t="s">
        <v>60</v>
      </c>
      <c r="B38" s="3"/>
      <c r="C38" s="3"/>
      <c r="D38" s="1"/>
    </row>
    <row r="39" spans="1:4">
      <c r="A39" s="3" t="s">
        <v>61</v>
      </c>
      <c r="B39" s="3" t="s">
        <v>62</v>
      </c>
      <c r="C39" s="3" t="s">
        <v>63</v>
      </c>
      <c r="D39" s="1"/>
    </row>
    <row r="40" spans="1:4">
      <c r="A40" s="3" t="s">
        <v>64</v>
      </c>
      <c r="B40" s="3"/>
      <c r="C40" s="3"/>
      <c r="D40" s="1"/>
    </row>
    <row r="41" spans="1:4">
      <c r="A41" s="3" t="s">
        <v>65</v>
      </c>
      <c r="B41" s="3"/>
      <c r="C41" s="3"/>
      <c r="D41" s="1"/>
    </row>
    <row r="42" spans="1:4">
      <c r="A42" s="1"/>
      <c r="B42" s="1"/>
      <c r="C42" s="1"/>
      <c r="D42" s="1"/>
    </row>
    <row r="43" spans="1:4">
      <c r="A43" s="5" t="s">
        <v>66</v>
      </c>
      <c r="B43" s="5" t="s">
        <v>67</v>
      </c>
      <c r="C43" s="1"/>
      <c r="D43" s="1"/>
    </row>
    <row r="44" spans="1:4">
      <c r="A44" s="3" t="s">
        <v>68</v>
      </c>
      <c r="B44" s="42" t="s">
        <v>69</v>
      </c>
      <c r="C44" s="1"/>
      <c r="D44" s="1"/>
    </row>
    <row r="45" spans="1:4">
      <c r="A45" s="48" t="s">
        <v>70</v>
      </c>
      <c r="B45" s="42" t="s">
        <v>71</v>
      </c>
      <c r="C45" s="1"/>
      <c r="D45" s="1"/>
    </row>
    <row r="46" spans="1:4">
      <c r="A46" s="48" t="s">
        <v>72</v>
      </c>
      <c r="B46" s="42" t="s">
        <v>71</v>
      </c>
      <c r="C46" s="1"/>
      <c r="D46" s="1"/>
    </row>
    <row r="47" spans="1:4">
      <c r="A47" s="48" t="s">
        <v>73</v>
      </c>
      <c r="B47" s="42" t="s">
        <v>71</v>
      </c>
      <c r="C47" s="1"/>
      <c r="D47" s="1"/>
    </row>
    <row r="48" spans="1:4">
      <c r="A48" s="57" t="s">
        <v>74</v>
      </c>
      <c r="B48" s="42" t="s">
        <v>71</v>
      </c>
      <c r="C48" s="1"/>
      <c r="D48" s="1"/>
    </row>
    <row r="49" spans="1:2">
      <c r="A49" s="56" t="s">
        <v>75</v>
      </c>
      <c r="B49" s="42" t="s">
        <v>71</v>
      </c>
    </row>
    <row r="50" spans="1:2">
      <c r="A50" s="56" t="s">
        <v>76</v>
      </c>
      <c r="B50" s="42" t="s">
        <v>71</v>
      </c>
    </row>
    <row r="51" spans="1:2">
      <c r="B51" s="1"/>
    </row>
    <row r="52" spans="1:2">
      <c r="B52" s="1"/>
    </row>
    <row r="53" spans="1:2">
      <c r="B53" s="1"/>
    </row>
    <row r="54" spans="1:2">
      <c r="B54" s="1"/>
    </row>
    <row r="55" spans="1:2">
      <c r="B55" s="1"/>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D5B-CB2F-5F47-8F1F-09F13B21B85A}">
  <sheetPr>
    <outlinePr summaryBelow="0" summaryRight="0"/>
  </sheetPr>
  <dimension ref="A1:AJ130"/>
  <sheetViews>
    <sheetView topLeftCell="F41" zoomScale="130" zoomScaleNormal="130" workbookViewId="0">
      <selection activeCell="J109" sqref="J109:J116"/>
    </sheetView>
  </sheetViews>
  <sheetFormatPr defaultColWidth="12.42578125" defaultRowHeight="15.75" customHeight="1"/>
  <cols>
    <col min="1" max="1" width="36.5703125" style="18" customWidth="1"/>
    <col min="2" max="2" width="12.42578125" style="18"/>
    <col min="3" max="3" width="14.42578125" style="18" customWidth="1"/>
    <col min="4" max="4" width="12.42578125" style="18"/>
    <col min="5" max="6" width="25.42578125" style="18" customWidth="1"/>
    <col min="7" max="9" width="16.42578125" style="18" customWidth="1"/>
    <col min="10" max="10" width="20.140625" style="18" bestFit="1" customWidth="1"/>
    <col min="11" max="12" width="19" style="18" customWidth="1"/>
    <col min="13" max="13" width="21.42578125" style="18" bestFit="1" customWidth="1"/>
    <col min="14" max="14" width="16.42578125" style="18" customWidth="1"/>
    <col min="15" max="15" width="13.42578125" style="18" customWidth="1"/>
    <col min="16" max="16" width="11.140625" style="18" customWidth="1"/>
    <col min="17" max="17" width="12.42578125" style="18" customWidth="1"/>
    <col min="18" max="18" width="32.42578125" style="18" customWidth="1"/>
    <col min="19" max="19" width="21.42578125" style="18" customWidth="1"/>
    <col min="20" max="21" width="16.42578125" style="18" customWidth="1"/>
    <col min="22" max="22" width="36.140625" style="18" customWidth="1"/>
    <col min="23" max="28" width="12.42578125" style="18"/>
    <col min="29" max="29" width="34.85546875" style="18" customWidth="1"/>
    <col min="30" max="31" width="12.42578125" style="18"/>
    <col min="32" max="32" width="18.42578125" style="18" customWidth="1"/>
    <col min="33" max="33" width="17.42578125" style="18" customWidth="1"/>
    <col min="34" max="34" width="18.42578125" style="18" customWidth="1"/>
    <col min="35" max="35" width="12.42578125" style="18"/>
    <col min="36" max="36" width="13.42578125" style="18" customWidth="1"/>
    <col min="37" max="16384" width="12.42578125" style="18"/>
  </cols>
  <sheetData>
    <row r="1" spans="1:36" ht="15.75" customHeight="1">
      <c r="A1" s="17" t="s">
        <v>77</v>
      </c>
      <c r="B1" s="17" t="s">
        <v>78</v>
      </c>
      <c r="C1" s="17" t="s">
        <v>79</v>
      </c>
      <c r="D1" s="17" t="s">
        <v>80</v>
      </c>
      <c r="E1" s="17" t="s">
        <v>81</v>
      </c>
      <c r="F1" s="17" t="s">
        <v>82</v>
      </c>
      <c r="G1" s="17" t="s">
        <v>83</v>
      </c>
      <c r="H1" s="17" t="s">
        <v>84</v>
      </c>
      <c r="I1" s="17" t="s">
        <v>85</v>
      </c>
      <c r="J1" s="17" t="s">
        <v>86</v>
      </c>
      <c r="K1" s="17" t="s">
        <v>87</v>
      </c>
      <c r="L1" s="17" t="s">
        <v>88</v>
      </c>
      <c r="M1" s="17" t="s">
        <v>89</v>
      </c>
      <c r="N1" s="17" t="s">
        <v>90</v>
      </c>
      <c r="O1" s="17" t="s">
        <v>91</v>
      </c>
      <c r="P1" s="17" t="s">
        <v>92</v>
      </c>
      <c r="Q1" s="17" t="s">
        <v>93</v>
      </c>
      <c r="R1" s="17" t="s">
        <v>94</v>
      </c>
      <c r="S1" s="17" t="s">
        <v>95</v>
      </c>
      <c r="T1" s="17" t="s">
        <v>96</v>
      </c>
      <c r="U1" s="17" t="s">
        <v>97</v>
      </c>
      <c r="V1" s="17" t="s">
        <v>98</v>
      </c>
      <c r="W1" s="17" t="s">
        <v>99</v>
      </c>
      <c r="X1" s="17" t="s">
        <v>100</v>
      </c>
      <c r="Y1" s="17" t="s">
        <v>101</v>
      </c>
      <c r="Z1" s="17" t="s">
        <v>102</v>
      </c>
      <c r="AA1" s="17" t="s">
        <v>103</v>
      </c>
      <c r="AB1" s="17" t="s">
        <v>104</v>
      </c>
      <c r="AC1" s="17" t="s">
        <v>105</v>
      </c>
      <c r="AD1" s="17" t="s">
        <v>106</v>
      </c>
      <c r="AE1" s="17" t="s">
        <v>107</v>
      </c>
      <c r="AF1" s="17" t="s">
        <v>108</v>
      </c>
      <c r="AG1" s="17" t="s">
        <v>109</v>
      </c>
      <c r="AH1" s="17" t="s">
        <v>110</v>
      </c>
      <c r="AI1" s="46" t="s">
        <v>111</v>
      </c>
      <c r="AJ1" s="18" t="s">
        <v>112</v>
      </c>
    </row>
    <row r="2" spans="1:36" ht="12.95">
      <c r="A2" s="19"/>
      <c r="B2" s="20"/>
      <c r="C2" s="21"/>
      <c r="D2" s="20"/>
      <c r="E2" s="20"/>
      <c r="F2" s="20"/>
      <c r="G2" s="22"/>
      <c r="H2" s="22"/>
      <c r="I2" s="22"/>
      <c r="K2" s="23"/>
      <c r="L2" s="23"/>
      <c r="M2" s="23"/>
      <c r="O2" s="20"/>
      <c r="P2" s="20"/>
      <c r="Q2" s="20"/>
      <c r="R2" s="20"/>
      <c r="S2" s="20"/>
      <c r="U2" s="20"/>
      <c r="V2" s="19"/>
      <c r="W2" s="19"/>
      <c r="X2" s="19"/>
      <c r="Y2" s="19"/>
      <c r="Z2" s="19"/>
    </row>
    <row r="3" spans="1:36" ht="12.75">
      <c r="A3" s="19" t="s">
        <v>113</v>
      </c>
      <c r="B3" s="20" t="s">
        <v>114</v>
      </c>
      <c r="C3" s="20" t="s">
        <v>26</v>
      </c>
      <c r="D3" s="20" t="s">
        <v>115</v>
      </c>
      <c r="E3" s="20" t="s">
        <v>116</v>
      </c>
      <c r="F3" s="20" t="s">
        <v>117</v>
      </c>
      <c r="G3" s="22" t="s">
        <v>118</v>
      </c>
      <c r="H3" s="21">
        <v>45959</v>
      </c>
      <c r="I3" s="22"/>
      <c r="J3" s="23">
        <v>34470000</v>
      </c>
      <c r="K3" s="23" t="s">
        <v>119</v>
      </c>
      <c r="L3" s="23"/>
      <c r="M3" s="23"/>
      <c r="O3" s="20" t="s">
        <v>120</v>
      </c>
      <c r="P3" s="20" t="s">
        <v>121</v>
      </c>
      <c r="Q3" s="19">
        <v>1</v>
      </c>
      <c r="R3" s="31" t="s">
        <v>122</v>
      </c>
      <c r="S3" s="20" t="s">
        <v>119</v>
      </c>
      <c r="U3" s="20" t="s">
        <v>123</v>
      </c>
      <c r="V3" s="19" t="s">
        <v>124</v>
      </c>
      <c r="W3" s="19" t="s">
        <v>125</v>
      </c>
      <c r="X3" s="19" t="s">
        <v>126</v>
      </c>
      <c r="Y3" s="19">
        <v>10041</v>
      </c>
      <c r="Z3" s="19" t="s">
        <v>127</v>
      </c>
      <c r="AA3" s="19" t="s">
        <v>128</v>
      </c>
      <c r="AB3" s="19" t="s">
        <v>129</v>
      </c>
      <c r="AF3" s="19">
        <v>100</v>
      </c>
      <c r="AI3" s="36">
        <v>45957</v>
      </c>
      <c r="AJ3" s="47" t="s">
        <v>130</v>
      </c>
    </row>
    <row r="4" spans="1:36" ht="12.75">
      <c r="A4" s="19"/>
      <c r="B4" s="20"/>
      <c r="C4" s="20"/>
      <c r="D4" s="20"/>
      <c r="E4" s="20" t="s">
        <v>116</v>
      </c>
      <c r="F4" s="20" t="s">
        <v>131</v>
      </c>
      <c r="G4" s="22" t="s">
        <v>132</v>
      </c>
      <c r="I4" s="21">
        <v>45978</v>
      </c>
      <c r="J4" s="104">
        <v>-50000</v>
      </c>
      <c r="K4" s="23"/>
      <c r="L4" s="23"/>
      <c r="M4" s="23"/>
      <c r="O4" s="20" t="s">
        <v>120</v>
      </c>
      <c r="P4" s="20" t="s">
        <v>121</v>
      </c>
      <c r="Q4" s="19">
        <v>1</v>
      </c>
      <c r="R4" s="31" t="s">
        <v>122</v>
      </c>
      <c r="S4" s="20" t="s">
        <v>119</v>
      </c>
      <c r="U4" s="20" t="s">
        <v>123</v>
      </c>
      <c r="V4" s="19" t="s">
        <v>124</v>
      </c>
      <c r="W4" s="19" t="s">
        <v>125</v>
      </c>
      <c r="X4" s="19" t="s">
        <v>126</v>
      </c>
      <c r="Y4" s="19">
        <v>10041</v>
      </c>
      <c r="Z4" s="19" t="s">
        <v>127</v>
      </c>
      <c r="AA4" s="19" t="s">
        <v>128</v>
      </c>
      <c r="AB4" s="19" t="s">
        <v>129</v>
      </c>
      <c r="AF4" s="19">
        <v>100</v>
      </c>
      <c r="AI4" s="36">
        <v>45957</v>
      </c>
      <c r="AJ4" s="47" t="s">
        <v>130</v>
      </c>
    </row>
    <row r="5" spans="1:36" ht="12.75">
      <c r="A5" s="19"/>
      <c r="B5" s="20"/>
      <c r="C5" s="20"/>
      <c r="D5" s="20"/>
      <c r="E5" s="20" t="s">
        <v>116</v>
      </c>
      <c r="F5" s="20" t="s">
        <v>131</v>
      </c>
      <c r="G5" s="22" t="s">
        <v>132</v>
      </c>
      <c r="I5" s="21">
        <v>45978</v>
      </c>
      <c r="J5" s="104">
        <v>-149700</v>
      </c>
      <c r="K5" s="23"/>
      <c r="L5" s="23"/>
      <c r="M5" s="23"/>
      <c r="O5" s="20" t="s">
        <v>120</v>
      </c>
      <c r="P5" s="20" t="s">
        <v>121</v>
      </c>
      <c r="Q5" s="19">
        <v>1</v>
      </c>
      <c r="R5" s="31" t="s">
        <v>122</v>
      </c>
      <c r="S5" s="20" t="s">
        <v>119</v>
      </c>
      <c r="U5" s="20" t="s">
        <v>123</v>
      </c>
      <c r="V5" s="19" t="s">
        <v>124</v>
      </c>
      <c r="W5" s="19" t="s">
        <v>125</v>
      </c>
      <c r="X5" s="19" t="s">
        <v>126</v>
      </c>
      <c r="Y5" s="19">
        <v>10041</v>
      </c>
      <c r="Z5" s="19" t="s">
        <v>127</v>
      </c>
      <c r="AA5" s="19" t="s">
        <v>128</v>
      </c>
      <c r="AB5" s="19" t="s">
        <v>129</v>
      </c>
      <c r="AF5" s="19">
        <v>100</v>
      </c>
      <c r="AI5" s="36">
        <v>45957</v>
      </c>
      <c r="AJ5" s="47" t="s">
        <v>130</v>
      </c>
    </row>
    <row r="6" spans="1:36" ht="12.75">
      <c r="A6" s="19"/>
      <c r="B6" s="20"/>
      <c r="C6" s="20"/>
      <c r="D6" s="20"/>
      <c r="E6" s="20" t="s">
        <v>116</v>
      </c>
      <c r="F6" s="20" t="s">
        <v>131</v>
      </c>
      <c r="G6" s="22" t="s">
        <v>132</v>
      </c>
      <c r="I6" s="21">
        <v>45978</v>
      </c>
      <c r="J6" s="104">
        <v>-1840658</v>
      </c>
      <c r="K6" s="23"/>
      <c r="L6" s="23"/>
      <c r="M6" s="23"/>
      <c r="O6" s="20" t="s">
        <v>120</v>
      </c>
      <c r="P6" s="20" t="s">
        <v>121</v>
      </c>
      <c r="Q6" s="19">
        <v>1</v>
      </c>
      <c r="R6" s="31" t="s">
        <v>122</v>
      </c>
      <c r="S6" s="20" t="s">
        <v>119</v>
      </c>
      <c r="U6" s="20" t="s">
        <v>123</v>
      </c>
      <c r="V6" s="19" t="s">
        <v>124</v>
      </c>
      <c r="W6" s="19" t="s">
        <v>125</v>
      </c>
      <c r="X6" s="19" t="s">
        <v>126</v>
      </c>
      <c r="Y6" s="19">
        <v>10041</v>
      </c>
      <c r="Z6" s="19" t="s">
        <v>127</v>
      </c>
      <c r="AA6" s="19" t="s">
        <v>128</v>
      </c>
      <c r="AB6" s="19" t="s">
        <v>129</v>
      </c>
      <c r="AF6" s="19">
        <v>100</v>
      </c>
      <c r="AI6" s="36">
        <v>45957</v>
      </c>
      <c r="AJ6" s="47" t="s">
        <v>130</v>
      </c>
    </row>
    <row r="7" spans="1:36" ht="12.75">
      <c r="A7" s="19"/>
      <c r="B7" s="20"/>
      <c r="C7" s="20"/>
      <c r="D7" s="20"/>
      <c r="E7" s="20" t="s">
        <v>116</v>
      </c>
      <c r="F7" s="20" t="s">
        <v>131</v>
      </c>
      <c r="G7" s="22" t="s">
        <v>132</v>
      </c>
      <c r="I7" s="21">
        <v>45978</v>
      </c>
      <c r="J7" s="104">
        <v>-2250000</v>
      </c>
      <c r="K7" s="23"/>
      <c r="L7" s="23"/>
      <c r="M7" s="23"/>
      <c r="O7" s="20" t="s">
        <v>120</v>
      </c>
      <c r="P7" s="20" t="s">
        <v>121</v>
      </c>
      <c r="Q7" s="19">
        <v>1</v>
      </c>
      <c r="R7" s="31" t="s">
        <v>122</v>
      </c>
      <c r="S7" s="20" t="s">
        <v>119</v>
      </c>
      <c r="U7" s="20" t="s">
        <v>123</v>
      </c>
      <c r="V7" s="19" t="s">
        <v>124</v>
      </c>
      <c r="W7" s="19" t="s">
        <v>125</v>
      </c>
      <c r="X7" s="19" t="s">
        <v>126</v>
      </c>
      <c r="Y7" s="19">
        <v>10041</v>
      </c>
      <c r="Z7" s="19" t="s">
        <v>127</v>
      </c>
      <c r="AA7" s="19" t="s">
        <v>128</v>
      </c>
      <c r="AB7" s="19" t="s">
        <v>129</v>
      </c>
      <c r="AF7" s="19">
        <v>100</v>
      </c>
      <c r="AI7" s="36">
        <v>45957</v>
      </c>
      <c r="AJ7" s="47" t="s">
        <v>130</v>
      </c>
    </row>
    <row r="8" spans="1:36" ht="12.75">
      <c r="A8" s="19"/>
      <c r="B8" s="20"/>
      <c r="C8" s="20"/>
      <c r="D8" s="20"/>
      <c r="E8" s="20" t="s">
        <v>116</v>
      </c>
      <c r="F8" s="20" t="s">
        <v>131</v>
      </c>
      <c r="G8" s="22" t="s">
        <v>132</v>
      </c>
      <c r="I8" s="21">
        <v>45978</v>
      </c>
      <c r="J8" s="104">
        <v>-900000</v>
      </c>
      <c r="K8" s="23"/>
      <c r="L8" s="23"/>
      <c r="M8" s="23"/>
      <c r="O8" s="20" t="s">
        <v>120</v>
      </c>
      <c r="P8" s="20" t="s">
        <v>121</v>
      </c>
      <c r="Q8" s="19">
        <v>1</v>
      </c>
      <c r="R8" s="31" t="s">
        <v>122</v>
      </c>
      <c r="S8" s="20" t="s">
        <v>119</v>
      </c>
      <c r="U8" s="20" t="s">
        <v>123</v>
      </c>
      <c r="V8" s="19" t="s">
        <v>124</v>
      </c>
      <c r="W8" s="19" t="s">
        <v>125</v>
      </c>
      <c r="X8" s="19" t="s">
        <v>126</v>
      </c>
      <c r="Y8" s="19">
        <v>10041</v>
      </c>
      <c r="Z8" s="19" t="s">
        <v>127</v>
      </c>
      <c r="AA8" s="19" t="s">
        <v>128</v>
      </c>
      <c r="AB8" s="19" t="s">
        <v>129</v>
      </c>
      <c r="AF8" s="19">
        <v>100</v>
      </c>
      <c r="AI8" s="36">
        <v>45957</v>
      </c>
      <c r="AJ8" s="47" t="s">
        <v>130</v>
      </c>
    </row>
    <row r="9" spans="1:36" ht="12.75">
      <c r="A9" s="19"/>
      <c r="B9" s="20"/>
      <c r="C9" s="20"/>
      <c r="D9" s="20"/>
      <c r="E9" s="20" t="s">
        <v>116</v>
      </c>
      <c r="F9" s="20" t="s">
        <v>131</v>
      </c>
      <c r="G9" s="22" t="s">
        <v>132</v>
      </c>
      <c r="I9" s="21">
        <v>45978</v>
      </c>
      <c r="J9" s="104">
        <v>-654040</v>
      </c>
      <c r="K9" s="23" t="s">
        <v>119</v>
      </c>
      <c r="L9" s="23"/>
      <c r="M9" s="23"/>
      <c r="O9" s="20" t="s">
        <v>120</v>
      </c>
      <c r="P9" s="20" t="s">
        <v>121</v>
      </c>
      <c r="Q9" s="19">
        <v>1</v>
      </c>
      <c r="R9" s="31" t="s">
        <v>122</v>
      </c>
      <c r="S9" s="20" t="s">
        <v>119</v>
      </c>
      <c r="U9" s="20" t="s">
        <v>123</v>
      </c>
      <c r="V9" s="19" t="s">
        <v>124</v>
      </c>
      <c r="W9" s="19" t="s">
        <v>125</v>
      </c>
      <c r="X9" s="19" t="s">
        <v>126</v>
      </c>
      <c r="Y9" s="19">
        <v>10041</v>
      </c>
      <c r="Z9" s="19" t="s">
        <v>127</v>
      </c>
      <c r="AA9" s="19" t="s">
        <v>128</v>
      </c>
      <c r="AB9" s="19" t="s">
        <v>129</v>
      </c>
      <c r="AF9" s="19">
        <v>100</v>
      </c>
      <c r="AI9" s="36">
        <v>45957</v>
      </c>
      <c r="AJ9" s="47" t="s">
        <v>130</v>
      </c>
    </row>
    <row r="10" spans="1:36" ht="12.75">
      <c r="A10" s="19"/>
      <c r="B10" s="20"/>
      <c r="C10" s="20"/>
      <c r="D10" s="20"/>
      <c r="E10" s="20" t="s">
        <v>116</v>
      </c>
      <c r="F10" s="20" t="s">
        <v>131</v>
      </c>
      <c r="G10" s="22" t="s">
        <v>132</v>
      </c>
      <c r="I10" s="21">
        <v>45979</v>
      </c>
      <c r="J10" s="104">
        <v>-500000</v>
      </c>
      <c r="K10" s="23"/>
      <c r="L10" s="23"/>
      <c r="M10" s="23"/>
      <c r="O10" s="20" t="s">
        <v>120</v>
      </c>
      <c r="P10" s="20" t="s">
        <v>121</v>
      </c>
      <c r="Q10" s="19">
        <v>1</v>
      </c>
      <c r="R10" s="31" t="s">
        <v>122</v>
      </c>
      <c r="S10" s="20" t="s">
        <v>119</v>
      </c>
      <c r="U10" s="20" t="s">
        <v>123</v>
      </c>
      <c r="V10" s="19" t="s">
        <v>124</v>
      </c>
      <c r="W10" s="19" t="s">
        <v>125</v>
      </c>
      <c r="X10" s="19" t="s">
        <v>126</v>
      </c>
      <c r="Y10" s="19">
        <v>10041</v>
      </c>
      <c r="Z10" s="19" t="s">
        <v>127</v>
      </c>
      <c r="AA10" s="19" t="s">
        <v>128</v>
      </c>
      <c r="AB10" s="19" t="s">
        <v>129</v>
      </c>
      <c r="AF10" s="19">
        <v>100</v>
      </c>
      <c r="AI10" s="36">
        <v>45957</v>
      </c>
      <c r="AJ10" s="47" t="s">
        <v>130</v>
      </c>
    </row>
    <row r="11" spans="1:36" ht="12.75">
      <c r="A11" s="19"/>
      <c r="B11" s="20"/>
      <c r="C11" s="20"/>
      <c r="D11" s="20"/>
      <c r="E11" s="20" t="s">
        <v>116</v>
      </c>
      <c r="F11" s="20" t="s">
        <v>131</v>
      </c>
      <c r="G11" s="22" t="s">
        <v>132</v>
      </c>
      <c r="I11" s="21">
        <v>45979</v>
      </c>
      <c r="J11" s="104">
        <v>-88890</v>
      </c>
      <c r="K11" s="23"/>
      <c r="L11" s="23"/>
      <c r="M11" s="23"/>
      <c r="O11" s="20" t="s">
        <v>120</v>
      </c>
      <c r="P11" s="20" t="s">
        <v>121</v>
      </c>
      <c r="Q11" s="19">
        <v>1</v>
      </c>
      <c r="R11" s="31" t="s">
        <v>122</v>
      </c>
      <c r="S11" s="20" t="s">
        <v>119</v>
      </c>
      <c r="U11" s="20" t="s">
        <v>123</v>
      </c>
      <c r="V11" s="19" t="s">
        <v>124</v>
      </c>
      <c r="W11" s="19" t="s">
        <v>125</v>
      </c>
      <c r="X11" s="19" t="s">
        <v>126</v>
      </c>
      <c r="Y11" s="19">
        <v>10041</v>
      </c>
      <c r="Z11" s="19" t="s">
        <v>127</v>
      </c>
      <c r="AA11" s="19" t="s">
        <v>128</v>
      </c>
      <c r="AB11" s="19" t="s">
        <v>129</v>
      </c>
      <c r="AF11" s="19">
        <v>100</v>
      </c>
      <c r="AI11" s="36">
        <v>45957</v>
      </c>
      <c r="AJ11" s="47" t="s">
        <v>130</v>
      </c>
    </row>
    <row r="12" spans="1:36" ht="12.75">
      <c r="A12" s="19"/>
      <c r="B12" s="20"/>
      <c r="C12" s="20"/>
      <c r="D12" s="20"/>
      <c r="E12" s="20" t="s">
        <v>116</v>
      </c>
      <c r="F12" s="20" t="s">
        <v>131</v>
      </c>
      <c r="G12" s="22" t="s">
        <v>132</v>
      </c>
      <c r="I12" s="21">
        <v>45979</v>
      </c>
      <c r="J12" s="104">
        <v>-75318</v>
      </c>
      <c r="K12" s="23"/>
      <c r="L12" s="23"/>
      <c r="M12" s="23"/>
      <c r="O12" s="20" t="s">
        <v>120</v>
      </c>
      <c r="P12" s="20" t="s">
        <v>121</v>
      </c>
      <c r="Q12" s="19">
        <v>1</v>
      </c>
      <c r="R12" s="31" t="s">
        <v>122</v>
      </c>
      <c r="S12" s="20" t="s">
        <v>119</v>
      </c>
      <c r="U12" s="20" t="s">
        <v>123</v>
      </c>
      <c r="V12" s="19" t="s">
        <v>124</v>
      </c>
      <c r="W12" s="19" t="s">
        <v>125</v>
      </c>
      <c r="X12" s="19" t="s">
        <v>126</v>
      </c>
      <c r="Y12" s="19">
        <v>10041</v>
      </c>
      <c r="Z12" s="19" t="s">
        <v>127</v>
      </c>
      <c r="AA12" s="19" t="s">
        <v>128</v>
      </c>
      <c r="AB12" s="19" t="s">
        <v>129</v>
      </c>
      <c r="AF12" s="19">
        <v>100</v>
      </c>
      <c r="AI12" s="36">
        <v>45957</v>
      </c>
      <c r="AJ12" s="47" t="s">
        <v>130</v>
      </c>
    </row>
    <row r="13" spans="1:36" ht="12.75">
      <c r="A13" s="19"/>
      <c r="B13" s="20"/>
      <c r="C13" s="20"/>
      <c r="D13" s="20"/>
      <c r="E13" s="20" t="s">
        <v>116</v>
      </c>
      <c r="F13" s="20" t="s">
        <v>131</v>
      </c>
      <c r="G13" s="22" t="s">
        <v>132</v>
      </c>
      <c r="I13" s="21">
        <v>45979</v>
      </c>
      <c r="J13" s="104">
        <v>-1000</v>
      </c>
      <c r="K13" s="23"/>
      <c r="L13" s="23"/>
      <c r="M13" s="23"/>
      <c r="O13" s="20" t="s">
        <v>120</v>
      </c>
      <c r="P13" s="20" t="s">
        <v>121</v>
      </c>
      <c r="Q13" s="19">
        <v>1</v>
      </c>
      <c r="R13" s="31" t="s">
        <v>122</v>
      </c>
      <c r="S13" s="20" t="s">
        <v>119</v>
      </c>
      <c r="U13" s="20" t="s">
        <v>123</v>
      </c>
      <c r="V13" s="19" t="s">
        <v>124</v>
      </c>
      <c r="W13" s="19" t="s">
        <v>125</v>
      </c>
      <c r="X13" s="19" t="s">
        <v>126</v>
      </c>
      <c r="Y13" s="19">
        <v>10041</v>
      </c>
      <c r="Z13" s="19" t="s">
        <v>127</v>
      </c>
      <c r="AA13" s="19" t="s">
        <v>128</v>
      </c>
      <c r="AB13" s="19" t="s">
        <v>129</v>
      </c>
      <c r="AF13" s="19">
        <v>100</v>
      </c>
      <c r="AI13" s="36">
        <v>45957</v>
      </c>
      <c r="AJ13" s="47" t="s">
        <v>130</v>
      </c>
    </row>
    <row r="14" spans="1:36" ht="12.75">
      <c r="A14" s="19"/>
      <c r="B14" s="20"/>
      <c r="C14" s="20"/>
      <c r="D14" s="20"/>
      <c r="E14" s="20" t="s">
        <v>116</v>
      </c>
      <c r="F14" s="20" t="s">
        <v>131</v>
      </c>
      <c r="G14" s="22" t="s">
        <v>132</v>
      </c>
      <c r="I14" s="21">
        <v>45979</v>
      </c>
      <c r="J14" s="104">
        <v>-280000</v>
      </c>
      <c r="K14" s="23"/>
      <c r="L14" s="23"/>
      <c r="M14" s="23"/>
      <c r="O14" s="20" t="s">
        <v>120</v>
      </c>
      <c r="P14" s="20" t="s">
        <v>121</v>
      </c>
      <c r="Q14" s="19">
        <v>1</v>
      </c>
      <c r="R14" s="31" t="s">
        <v>122</v>
      </c>
      <c r="S14" s="20" t="s">
        <v>119</v>
      </c>
      <c r="U14" s="20" t="s">
        <v>123</v>
      </c>
      <c r="V14" s="19" t="s">
        <v>124</v>
      </c>
      <c r="W14" s="19" t="s">
        <v>125</v>
      </c>
      <c r="X14" s="19" t="s">
        <v>126</v>
      </c>
      <c r="Y14" s="19">
        <v>10041</v>
      </c>
      <c r="Z14" s="19" t="s">
        <v>127</v>
      </c>
      <c r="AA14" s="19" t="s">
        <v>128</v>
      </c>
      <c r="AB14" s="19" t="s">
        <v>129</v>
      </c>
      <c r="AF14" s="19">
        <v>100</v>
      </c>
      <c r="AI14" s="36">
        <v>45957</v>
      </c>
      <c r="AJ14" s="47" t="s">
        <v>130</v>
      </c>
    </row>
    <row r="15" spans="1:36" ht="12.75">
      <c r="A15" s="19"/>
      <c r="B15" s="20"/>
      <c r="C15" s="20"/>
      <c r="D15" s="20"/>
      <c r="E15" s="20" t="s">
        <v>116</v>
      </c>
      <c r="F15" s="20" t="s">
        <v>131</v>
      </c>
      <c r="G15" s="22" t="s">
        <v>132</v>
      </c>
      <c r="I15" s="21">
        <v>45979</v>
      </c>
      <c r="J15" s="104">
        <v>-341953</v>
      </c>
      <c r="K15" s="23"/>
      <c r="L15" s="23"/>
      <c r="M15" s="23"/>
      <c r="O15" s="20" t="s">
        <v>120</v>
      </c>
      <c r="P15" s="20" t="s">
        <v>121</v>
      </c>
      <c r="Q15" s="19">
        <v>1</v>
      </c>
      <c r="R15" s="31" t="s">
        <v>122</v>
      </c>
      <c r="S15" s="20" t="s">
        <v>119</v>
      </c>
      <c r="U15" s="20" t="s">
        <v>123</v>
      </c>
      <c r="V15" s="19" t="s">
        <v>124</v>
      </c>
      <c r="W15" s="19" t="s">
        <v>125</v>
      </c>
      <c r="X15" s="19" t="s">
        <v>126</v>
      </c>
      <c r="Y15" s="19">
        <v>10041</v>
      </c>
      <c r="Z15" s="19" t="s">
        <v>127</v>
      </c>
      <c r="AA15" s="19" t="s">
        <v>128</v>
      </c>
      <c r="AB15" s="19" t="s">
        <v>129</v>
      </c>
      <c r="AF15" s="19">
        <v>100</v>
      </c>
      <c r="AI15" s="36">
        <v>45957</v>
      </c>
      <c r="AJ15" s="47" t="s">
        <v>130</v>
      </c>
    </row>
    <row r="16" spans="1:36" ht="12.75">
      <c r="A16" s="19"/>
      <c r="B16" s="20"/>
      <c r="C16" s="20"/>
      <c r="D16" s="20"/>
      <c r="E16" s="20" t="s">
        <v>116</v>
      </c>
      <c r="F16" s="20" t="s">
        <v>131</v>
      </c>
      <c r="G16" s="22" t="s">
        <v>132</v>
      </c>
      <c r="I16" s="21">
        <v>45979</v>
      </c>
      <c r="J16" s="104">
        <v>-112586</v>
      </c>
      <c r="K16" s="23"/>
      <c r="L16" s="23"/>
      <c r="M16" s="23"/>
      <c r="O16" s="20" t="s">
        <v>120</v>
      </c>
      <c r="P16" s="20" t="s">
        <v>121</v>
      </c>
      <c r="Q16" s="19">
        <v>1</v>
      </c>
      <c r="R16" s="31" t="s">
        <v>122</v>
      </c>
      <c r="S16" s="20" t="s">
        <v>119</v>
      </c>
      <c r="U16" s="20" t="s">
        <v>123</v>
      </c>
      <c r="V16" s="19" t="s">
        <v>124</v>
      </c>
      <c r="W16" s="19" t="s">
        <v>125</v>
      </c>
      <c r="X16" s="19" t="s">
        <v>126</v>
      </c>
      <c r="Y16" s="19">
        <v>10041</v>
      </c>
      <c r="Z16" s="19" t="s">
        <v>127</v>
      </c>
      <c r="AA16" s="19" t="s">
        <v>128</v>
      </c>
      <c r="AB16" s="19" t="s">
        <v>129</v>
      </c>
      <c r="AF16" s="19">
        <v>100</v>
      </c>
      <c r="AI16" s="36">
        <v>45957</v>
      </c>
      <c r="AJ16" s="47" t="s">
        <v>130</v>
      </c>
    </row>
    <row r="17" spans="1:36" ht="12.75">
      <c r="A17" s="19"/>
      <c r="B17" s="20"/>
      <c r="C17" s="20"/>
      <c r="D17" s="20"/>
      <c r="E17" s="20" t="s">
        <v>116</v>
      </c>
      <c r="F17" s="20" t="s">
        <v>131</v>
      </c>
      <c r="G17" s="22" t="s">
        <v>132</v>
      </c>
      <c r="I17" s="21">
        <v>45979</v>
      </c>
      <c r="J17" s="104">
        <v>-732456</v>
      </c>
      <c r="K17" s="23"/>
      <c r="L17" s="23"/>
      <c r="M17" s="23"/>
      <c r="O17" s="20" t="s">
        <v>120</v>
      </c>
      <c r="P17" s="20" t="s">
        <v>121</v>
      </c>
      <c r="Q17" s="19">
        <v>1</v>
      </c>
      <c r="R17" s="31" t="s">
        <v>122</v>
      </c>
      <c r="S17" s="20" t="s">
        <v>119</v>
      </c>
      <c r="U17" s="20" t="s">
        <v>123</v>
      </c>
      <c r="V17" s="19" t="s">
        <v>124</v>
      </c>
      <c r="W17" s="19" t="s">
        <v>125</v>
      </c>
      <c r="X17" s="19" t="s">
        <v>126</v>
      </c>
      <c r="Y17" s="19">
        <v>10041</v>
      </c>
      <c r="Z17" s="19" t="s">
        <v>127</v>
      </c>
      <c r="AA17" s="19" t="s">
        <v>128</v>
      </c>
      <c r="AB17" s="19" t="s">
        <v>129</v>
      </c>
      <c r="AF17" s="19">
        <v>100</v>
      </c>
      <c r="AI17" s="36">
        <v>45957</v>
      </c>
      <c r="AJ17" s="47" t="s">
        <v>130</v>
      </c>
    </row>
    <row r="18" spans="1:36" ht="12.75">
      <c r="A18" s="19"/>
      <c r="B18" s="20"/>
      <c r="C18" s="20"/>
      <c r="D18" s="20"/>
      <c r="E18" s="20" t="s">
        <v>116</v>
      </c>
      <c r="F18" s="20" t="s">
        <v>131</v>
      </c>
      <c r="G18" s="22" t="s">
        <v>132</v>
      </c>
      <c r="I18" s="21">
        <v>45979</v>
      </c>
      <c r="J18" s="104">
        <v>-75000</v>
      </c>
      <c r="K18" s="23"/>
      <c r="L18" s="23"/>
      <c r="M18" s="23"/>
      <c r="O18" s="20" t="s">
        <v>120</v>
      </c>
      <c r="P18" s="20" t="s">
        <v>121</v>
      </c>
      <c r="Q18" s="19">
        <v>1</v>
      </c>
      <c r="R18" s="31" t="s">
        <v>122</v>
      </c>
      <c r="S18" s="20" t="s">
        <v>119</v>
      </c>
      <c r="U18" s="20" t="s">
        <v>123</v>
      </c>
      <c r="V18" s="19" t="s">
        <v>124</v>
      </c>
      <c r="W18" s="19" t="s">
        <v>125</v>
      </c>
      <c r="X18" s="19" t="s">
        <v>126</v>
      </c>
      <c r="Y18" s="19">
        <v>10041</v>
      </c>
      <c r="Z18" s="19" t="s">
        <v>127</v>
      </c>
      <c r="AA18" s="19" t="s">
        <v>128</v>
      </c>
      <c r="AB18" s="19" t="s">
        <v>129</v>
      </c>
      <c r="AF18" s="19">
        <v>100</v>
      </c>
      <c r="AI18" s="36">
        <v>45957</v>
      </c>
      <c r="AJ18" s="47" t="s">
        <v>130</v>
      </c>
    </row>
    <row r="19" spans="1:36" ht="12.75">
      <c r="A19" s="19"/>
      <c r="B19" s="20"/>
      <c r="C19" s="20"/>
      <c r="D19" s="20"/>
      <c r="E19" s="20" t="s">
        <v>116</v>
      </c>
      <c r="F19" s="20" t="s">
        <v>131</v>
      </c>
      <c r="G19" s="22" t="s">
        <v>132</v>
      </c>
      <c r="I19" s="21">
        <v>45979</v>
      </c>
      <c r="J19" s="104">
        <v>-2504718</v>
      </c>
      <c r="K19" s="23"/>
      <c r="L19" s="23"/>
      <c r="M19" s="23"/>
      <c r="O19" s="20" t="s">
        <v>120</v>
      </c>
      <c r="P19" s="20" t="s">
        <v>121</v>
      </c>
      <c r="Q19" s="19">
        <v>1</v>
      </c>
      <c r="R19" s="31" t="s">
        <v>122</v>
      </c>
      <c r="S19" s="20" t="s">
        <v>119</v>
      </c>
      <c r="U19" s="20" t="s">
        <v>123</v>
      </c>
      <c r="V19" s="19" t="s">
        <v>124</v>
      </c>
      <c r="W19" s="19" t="s">
        <v>125</v>
      </c>
      <c r="X19" s="19" t="s">
        <v>126</v>
      </c>
      <c r="Y19" s="19">
        <v>10041</v>
      </c>
      <c r="Z19" s="19" t="s">
        <v>127</v>
      </c>
      <c r="AA19" s="19" t="s">
        <v>128</v>
      </c>
      <c r="AB19" s="19" t="s">
        <v>129</v>
      </c>
      <c r="AF19" s="19">
        <v>100</v>
      </c>
      <c r="AI19" s="36">
        <v>45957</v>
      </c>
      <c r="AJ19" s="47" t="s">
        <v>130</v>
      </c>
    </row>
    <row r="20" spans="1:36" ht="12.75">
      <c r="A20" s="19"/>
      <c r="B20" s="20"/>
      <c r="C20" s="20"/>
      <c r="D20" s="20"/>
      <c r="E20" s="20" t="s">
        <v>116</v>
      </c>
      <c r="F20" s="20" t="s">
        <v>131</v>
      </c>
      <c r="G20" s="22" t="s">
        <v>132</v>
      </c>
      <c r="I20" s="21">
        <v>45979</v>
      </c>
      <c r="J20" s="104">
        <v>-813560</v>
      </c>
      <c r="K20" s="23"/>
      <c r="L20" s="23"/>
      <c r="M20" s="23"/>
      <c r="O20" s="20" t="s">
        <v>120</v>
      </c>
      <c r="P20" s="20" t="s">
        <v>121</v>
      </c>
      <c r="Q20" s="19">
        <v>1</v>
      </c>
      <c r="R20" s="31" t="s">
        <v>122</v>
      </c>
      <c r="S20" s="20" t="s">
        <v>119</v>
      </c>
      <c r="U20" s="20" t="s">
        <v>123</v>
      </c>
      <c r="V20" s="19" t="s">
        <v>124</v>
      </c>
      <c r="W20" s="19" t="s">
        <v>125</v>
      </c>
      <c r="X20" s="19" t="s">
        <v>126</v>
      </c>
      <c r="Y20" s="19">
        <v>10041</v>
      </c>
      <c r="Z20" s="19" t="s">
        <v>127</v>
      </c>
      <c r="AA20" s="19" t="s">
        <v>128</v>
      </c>
      <c r="AB20" s="19" t="s">
        <v>129</v>
      </c>
      <c r="AF20" s="19">
        <v>100</v>
      </c>
      <c r="AI20" s="36">
        <v>45957</v>
      </c>
      <c r="AJ20" s="47" t="s">
        <v>130</v>
      </c>
    </row>
    <row r="21" spans="1:36" ht="12.75">
      <c r="A21" s="19"/>
      <c r="B21" s="20"/>
      <c r="C21" s="20"/>
      <c r="D21" s="20"/>
      <c r="E21" s="20" t="s">
        <v>116</v>
      </c>
      <c r="F21" s="20" t="s">
        <v>131</v>
      </c>
      <c r="G21" s="22" t="s">
        <v>132</v>
      </c>
      <c r="I21" s="21">
        <v>45979</v>
      </c>
      <c r="J21" s="104">
        <v>-216434</v>
      </c>
      <c r="K21" s="23"/>
      <c r="L21" s="23"/>
      <c r="M21" s="23"/>
      <c r="O21" s="20" t="s">
        <v>120</v>
      </c>
      <c r="P21" s="20" t="s">
        <v>121</v>
      </c>
      <c r="Q21" s="19">
        <v>1</v>
      </c>
      <c r="R21" s="31" t="s">
        <v>122</v>
      </c>
      <c r="S21" s="20" t="s">
        <v>119</v>
      </c>
      <c r="U21" s="20" t="s">
        <v>123</v>
      </c>
      <c r="V21" s="19" t="s">
        <v>124</v>
      </c>
      <c r="W21" s="19" t="s">
        <v>125</v>
      </c>
      <c r="X21" s="19" t="s">
        <v>126</v>
      </c>
      <c r="Y21" s="19">
        <v>10041</v>
      </c>
      <c r="Z21" s="19" t="s">
        <v>127</v>
      </c>
      <c r="AA21" s="19" t="s">
        <v>128</v>
      </c>
      <c r="AB21" s="19" t="s">
        <v>129</v>
      </c>
      <c r="AF21" s="19">
        <v>100</v>
      </c>
      <c r="AI21" s="36">
        <v>45957</v>
      </c>
      <c r="AJ21" s="47" t="s">
        <v>130</v>
      </c>
    </row>
    <row r="22" spans="1:36" ht="12.75">
      <c r="A22" s="19"/>
      <c r="B22" s="20"/>
      <c r="C22" s="20"/>
      <c r="D22" s="20"/>
      <c r="E22" s="20" t="s">
        <v>116</v>
      </c>
      <c r="F22" s="20" t="s">
        <v>131</v>
      </c>
      <c r="G22" s="22" t="s">
        <v>132</v>
      </c>
      <c r="I22" s="21">
        <v>45979</v>
      </c>
      <c r="J22" s="104">
        <v>-543750</v>
      </c>
      <c r="K22" s="23"/>
      <c r="L22" s="23"/>
      <c r="M22" s="23"/>
      <c r="O22" s="20" t="s">
        <v>120</v>
      </c>
      <c r="P22" s="20" t="s">
        <v>121</v>
      </c>
      <c r="Q22" s="19">
        <v>1</v>
      </c>
      <c r="R22" s="31" t="s">
        <v>122</v>
      </c>
      <c r="S22" s="20" t="s">
        <v>119</v>
      </c>
      <c r="U22" s="20" t="s">
        <v>123</v>
      </c>
      <c r="V22" s="19" t="s">
        <v>124</v>
      </c>
      <c r="W22" s="19" t="s">
        <v>125</v>
      </c>
      <c r="X22" s="19" t="s">
        <v>126</v>
      </c>
      <c r="Y22" s="19">
        <v>10041</v>
      </c>
      <c r="Z22" s="19" t="s">
        <v>127</v>
      </c>
      <c r="AA22" s="19" t="s">
        <v>128</v>
      </c>
      <c r="AB22" s="19" t="s">
        <v>129</v>
      </c>
      <c r="AF22" s="19">
        <v>100</v>
      </c>
      <c r="AI22" s="36">
        <v>45957</v>
      </c>
      <c r="AJ22" s="47" t="s">
        <v>130</v>
      </c>
    </row>
    <row r="23" spans="1:36" ht="12.75">
      <c r="A23" s="19"/>
      <c r="B23" s="20"/>
      <c r="C23" s="20"/>
      <c r="D23" s="20"/>
      <c r="E23" s="20" t="s">
        <v>116</v>
      </c>
      <c r="F23" s="20" t="s">
        <v>131</v>
      </c>
      <c r="G23" s="22" t="s">
        <v>132</v>
      </c>
      <c r="I23" s="21">
        <v>45979</v>
      </c>
      <c r="J23" s="104">
        <v>-391892</v>
      </c>
      <c r="K23" s="23" t="s">
        <v>119</v>
      </c>
      <c r="L23" s="23"/>
      <c r="M23" s="23"/>
      <c r="O23" s="20" t="s">
        <v>120</v>
      </c>
      <c r="P23" s="20" t="s">
        <v>121</v>
      </c>
      <c r="Q23" s="19">
        <v>1</v>
      </c>
      <c r="R23" s="31" t="s">
        <v>122</v>
      </c>
      <c r="S23" s="20" t="s">
        <v>119</v>
      </c>
      <c r="U23" s="20" t="s">
        <v>123</v>
      </c>
      <c r="V23" s="19" t="s">
        <v>124</v>
      </c>
      <c r="W23" s="19" t="s">
        <v>125</v>
      </c>
      <c r="X23" s="19" t="s">
        <v>126</v>
      </c>
      <c r="Y23" s="19">
        <v>10041</v>
      </c>
      <c r="Z23" s="19" t="s">
        <v>127</v>
      </c>
      <c r="AA23" s="19" t="s">
        <v>128</v>
      </c>
      <c r="AB23" s="19" t="s">
        <v>129</v>
      </c>
      <c r="AF23" s="19">
        <v>100</v>
      </c>
      <c r="AI23" s="36">
        <v>45957</v>
      </c>
      <c r="AJ23" s="47" t="s">
        <v>130</v>
      </c>
    </row>
    <row r="24" spans="1:36" ht="12.75">
      <c r="A24" s="19"/>
      <c r="B24" s="20"/>
      <c r="C24" s="20"/>
      <c r="D24" s="20"/>
      <c r="E24" s="20" t="s">
        <v>116</v>
      </c>
      <c r="F24" s="20" t="s">
        <v>131</v>
      </c>
      <c r="G24" s="22" t="s">
        <v>132</v>
      </c>
      <c r="I24" s="21">
        <v>45980</v>
      </c>
      <c r="J24" s="104">
        <v>-174682</v>
      </c>
      <c r="K24" s="23"/>
      <c r="L24" s="23"/>
      <c r="M24" s="23"/>
      <c r="O24" s="20" t="s">
        <v>120</v>
      </c>
      <c r="P24" s="20" t="s">
        <v>121</v>
      </c>
      <c r="Q24" s="19">
        <v>1</v>
      </c>
      <c r="R24" s="31" t="s">
        <v>122</v>
      </c>
      <c r="S24" s="20" t="s">
        <v>119</v>
      </c>
      <c r="U24" s="20" t="s">
        <v>123</v>
      </c>
      <c r="V24" s="19" t="s">
        <v>124</v>
      </c>
      <c r="W24" s="19" t="s">
        <v>125</v>
      </c>
      <c r="X24" s="19" t="s">
        <v>126</v>
      </c>
      <c r="Y24" s="19">
        <v>10041</v>
      </c>
      <c r="Z24" s="19" t="s">
        <v>127</v>
      </c>
      <c r="AA24" s="19" t="s">
        <v>128</v>
      </c>
      <c r="AB24" s="19" t="s">
        <v>129</v>
      </c>
      <c r="AF24" s="19">
        <v>100</v>
      </c>
      <c r="AI24" s="36">
        <v>45957</v>
      </c>
      <c r="AJ24" s="47" t="s">
        <v>130</v>
      </c>
    </row>
    <row r="25" spans="1:36" ht="12.75">
      <c r="A25" s="19"/>
      <c r="B25" s="20"/>
      <c r="C25" s="20"/>
      <c r="D25" s="20"/>
      <c r="E25" s="20" t="s">
        <v>116</v>
      </c>
      <c r="F25" s="20" t="s">
        <v>131</v>
      </c>
      <c r="G25" s="22" t="s">
        <v>132</v>
      </c>
      <c r="I25" s="21">
        <v>45980</v>
      </c>
      <c r="J25" s="104">
        <v>-1153678</v>
      </c>
      <c r="K25" s="23"/>
      <c r="L25" s="23"/>
      <c r="M25" s="23"/>
      <c r="O25" s="20" t="s">
        <v>120</v>
      </c>
      <c r="P25" s="20" t="s">
        <v>121</v>
      </c>
      <c r="Q25" s="19">
        <v>1</v>
      </c>
      <c r="R25" s="31" t="s">
        <v>122</v>
      </c>
      <c r="S25" s="20" t="s">
        <v>119</v>
      </c>
      <c r="U25" s="20" t="s">
        <v>123</v>
      </c>
      <c r="V25" s="19" t="s">
        <v>124</v>
      </c>
      <c r="W25" s="19" t="s">
        <v>125</v>
      </c>
      <c r="X25" s="19" t="s">
        <v>126</v>
      </c>
      <c r="Y25" s="19">
        <v>10041</v>
      </c>
      <c r="Z25" s="19" t="s">
        <v>127</v>
      </c>
      <c r="AA25" s="19" t="s">
        <v>128</v>
      </c>
      <c r="AB25" s="19" t="s">
        <v>129</v>
      </c>
      <c r="AF25" s="19">
        <v>100</v>
      </c>
      <c r="AI25" s="36">
        <v>45957</v>
      </c>
      <c r="AJ25" s="47" t="s">
        <v>130</v>
      </c>
    </row>
    <row r="26" spans="1:36" ht="12.75">
      <c r="A26" s="19"/>
      <c r="B26" s="20"/>
      <c r="C26" s="20"/>
      <c r="D26" s="20"/>
      <c r="E26" s="20" t="s">
        <v>116</v>
      </c>
      <c r="F26" s="20" t="s">
        <v>131</v>
      </c>
      <c r="G26" s="22" t="s">
        <v>132</v>
      </c>
      <c r="I26" s="21">
        <v>45980</v>
      </c>
      <c r="J26" s="104">
        <v>-342247</v>
      </c>
      <c r="K26" s="23" t="s">
        <v>119</v>
      </c>
      <c r="L26" s="23"/>
      <c r="M26" s="23"/>
      <c r="O26" s="20" t="s">
        <v>120</v>
      </c>
      <c r="P26" s="20" t="s">
        <v>121</v>
      </c>
      <c r="Q26" s="19">
        <v>1</v>
      </c>
      <c r="R26" s="31" t="s">
        <v>122</v>
      </c>
      <c r="S26" s="20" t="s">
        <v>119</v>
      </c>
      <c r="U26" s="20" t="s">
        <v>123</v>
      </c>
      <c r="V26" s="19" t="s">
        <v>124</v>
      </c>
      <c r="W26" s="19" t="s">
        <v>125</v>
      </c>
      <c r="X26" s="19" t="s">
        <v>126</v>
      </c>
      <c r="Y26" s="19">
        <v>10041</v>
      </c>
      <c r="Z26" s="19" t="s">
        <v>127</v>
      </c>
      <c r="AA26" s="19" t="s">
        <v>128</v>
      </c>
      <c r="AB26" s="19" t="s">
        <v>129</v>
      </c>
      <c r="AF26" s="19">
        <v>100</v>
      </c>
      <c r="AI26" s="36">
        <v>45957</v>
      </c>
      <c r="AJ26" s="47" t="s">
        <v>130</v>
      </c>
    </row>
    <row r="27" spans="1:36" ht="12.75">
      <c r="A27" s="19"/>
      <c r="B27" s="20"/>
      <c r="C27" s="20"/>
      <c r="D27" s="20"/>
      <c r="E27" s="20" t="s">
        <v>116</v>
      </c>
      <c r="F27" s="20" t="s">
        <v>131</v>
      </c>
      <c r="G27" s="22" t="s">
        <v>132</v>
      </c>
      <c r="I27" s="21">
        <v>45981</v>
      </c>
      <c r="J27" s="104">
        <v>-50000</v>
      </c>
      <c r="K27" s="23"/>
      <c r="L27" s="23"/>
      <c r="M27" s="23"/>
      <c r="O27" s="20" t="s">
        <v>120</v>
      </c>
      <c r="P27" s="20" t="s">
        <v>121</v>
      </c>
      <c r="Q27" s="19">
        <v>1</v>
      </c>
      <c r="R27" s="31" t="s">
        <v>122</v>
      </c>
      <c r="S27" s="20" t="s">
        <v>119</v>
      </c>
      <c r="U27" s="20" t="s">
        <v>123</v>
      </c>
      <c r="V27" s="19" t="s">
        <v>124</v>
      </c>
      <c r="W27" s="19" t="s">
        <v>125</v>
      </c>
      <c r="X27" s="19" t="s">
        <v>126</v>
      </c>
      <c r="Y27" s="19">
        <v>10041</v>
      </c>
      <c r="Z27" s="19" t="s">
        <v>127</v>
      </c>
      <c r="AA27" s="19" t="s">
        <v>128</v>
      </c>
      <c r="AB27" s="19" t="s">
        <v>129</v>
      </c>
      <c r="AF27" s="19">
        <v>100</v>
      </c>
      <c r="AI27" s="36">
        <v>45957</v>
      </c>
      <c r="AJ27" s="47" t="s">
        <v>130</v>
      </c>
    </row>
    <row r="28" spans="1:36" ht="12.75">
      <c r="A28" s="19"/>
      <c r="B28" s="20"/>
      <c r="C28" s="20"/>
      <c r="D28" s="20"/>
      <c r="E28" s="20" t="s">
        <v>116</v>
      </c>
      <c r="F28" s="20" t="s">
        <v>131</v>
      </c>
      <c r="G28" s="22" t="s">
        <v>132</v>
      </c>
      <c r="I28" s="21">
        <v>45981</v>
      </c>
      <c r="J28" s="104">
        <v>-550600</v>
      </c>
      <c r="K28" s="23"/>
      <c r="L28" s="23"/>
      <c r="M28" s="23"/>
      <c r="O28" s="20" t="s">
        <v>120</v>
      </c>
      <c r="P28" s="20" t="s">
        <v>121</v>
      </c>
      <c r="Q28" s="19">
        <v>1</v>
      </c>
      <c r="R28" s="31" t="s">
        <v>122</v>
      </c>
      <c r="S28" s="20" t="s">
        <v>119</v>
      </c>
      <c r="U28" s="20" t="s">
        <v>123</v>
      </c>
      <c r="V28" s="19" t="s">
        <v>124</v>
      </c>
      <c r="W28" s="19" t="s">
        <v>125</v>
      </c>
      <c r="X28" s="19" t="s">
        <v>126</v>
      </c>
      <c r="Y28" s="19">
        <v>10041</v>
      </c>
      <c r="Z28" s="19" t="s">
        <v>127</v>
      </c>
      <c r="AA28" s="19" t="s">
        <v>128</v>
      </c>
      <c r="AB28" s="19" t="s">
        <v>129</v>
      </c>
      <c r="AF28" s="19">
        <v>100</v>
      </c>
      <c r="AI28" s="36">
        <v>45957</v>
      </c>
      <c r="AJ28" s="47" t="s">
        <v>130</v>
      </c>
    </row>
    <row r="29" spans="1:36" ht="12.75">
      <c r="A29" s="19"/>
      <c r="B29" s="20"/>
      <c r="C29" s="20"/>
      <c r="D29" s="20"/>
      <c r="E29" s="20" t="s">
        <v>116</v>
      </c>
      <c r="F29" s="20" t="s">
        <v>131</v>
      </c>
      <c r="G29" s="22" t="s">
        <v>132</v>
      </c>
      <c r="I29" s="21">
        <v>45981</v>
      </c>
      <c r="J29" s="104">
        <v>-813252</v>
      </c>
      <c r="K29" s="23"/>
      <c r="L29" s="23"/>
      <c r="M29" s="23"/>
      <c r="O29" s="20" t="s">
        <v>120</v>
      </c>
      <c r="P29" s="20" t="s">
        <v>121</v>
      </c>
      <c r="Q29" s="19">
        <v>1</v>
      </c>
      <c r="R29" s="31" t="s">
        <v>122</v>
      </c>
      <c r="S29" s="20" t="s">
        <v>119</v>
      </c>
      <c r="U29" s="20" t="s">
        <v>123</v>
      </c>
      <c r="V29" s="19" t="s">
        <v>124</v>
      </c>
      <c r="W29" s="19" t="s">
        <v>125</v>
      </c>
      <c r="X29" s="19" t="s">
        <v>126</v>
      </c>
      <c r="Y29" s="19">
        <v>10041</v>
      </c>
      <c r="Z29" s="19" t="s">
        <v>127</v>
      </c>
      <c r="AA29" s="19" t="s">
        <v>128</v>
      </c>
      <c r="AB29" s="19" t="s">
        <v>129</v>
      </c>
      <c r="AF29" s="19">
        <v>100</v>
      </c>
      <c r="AI29" s="36">
        <v>45957</v>
      </c>
      <c r="AJ29" s="47" t="s">
        <v>130</v>
      </c>
    </row>
    <row r="30" spans="1:36" ht="12.75">
      <c r="A30" s="19"/>
      <c r="B30" s="20"/>
      <c r="C30" s="20"/>
      <c r="D30" s="20"/>
      <c r="E30" s="20" t="s">
        <v>116</v>
      </c>
      <c r="F30" s="20" t="s">
        <v>131</v>
      </c>
      <c r="G30" s="22" t="s">
        <v>132</v>
      </c>
      <c r="I30" s="21">
        <v>45981</v>
      </c>
      <c r="J30" s="104">
        <v>-41692</v>
      </c>
      <c r="K30" s="23"/>
      <c r="L30" s="23"/>
      <c r="M30" s="23"/>
      <c r="O30" s="20" t="s">
        <v>120</v>
      </c>
      <c r="P30" s="20" t="s">
        <v>121</v>
      </c>
      <c r="Q30" s="19">
        <v>1</v>
      </c>
      <c r="R30" s="31" t="s">
        <v>122</v>
      </c>
      <c r="S30" s="20" t="s">
        <v>119</v>
      </c>
      <c r="U30" s="20" t="s">
        <v>123</v>
      </c>
      <c r="V30" s="19" t="s">
        <v>124</v>
      </c>
      <c r="W30" s="19" t="s">
        <v>125</v>
      </c>
      <c r="X30" s="19" t="s">
        <v>126</v>
      </c>
      <c r="Y30" s="19">
        <v>10041</v>
      </c>
      <c r="Z30" s="19" t="s">
        <v>127</v>
      </c>
      <c r="AA30" s="19" t="s">
        <v>128</v>
      </c>
      <c r="AB30" s="19" t="s">
        <v>129</v>
      </c>
      <c r="AF30" s="19">
        <v>100</v>
      </c>
      <c r="AI30" s="36">
        <v>45957</v>
      </c>
      <c r="AJ30" s="47" t="s">
        <v>130</v>
      </c>
    </row>
    <row r="31" spans="1:36" ht="12.75">
      <c r="A31" s="19"/>
      <c r="B31" s="20"/>
      <c r="C31" s="20"/>
      <c r="D31" s="20"/>
      <c r="E31" s="20" t="s">
        <v>116</v>
      </c>
      <c r="F31" s="20" t="s">
        <v>131</v>
      </c>
      <c r="G31" s="22" t="s">
        <v>132</v>
      </c>
      <c r="I31" s="21">
        <v>45981</v>
      </c>
      <c r="J31" s="104">
        <v>-11110</v>
      </c>
      <c r="K31" s="23"/>
      <c r="L31" s="23"/>
      <c r="M31" s="23"/>
      <c r="O31" s="20" t="s">
        <v>120</v>
      </c>
      <c r="P31" s="20" t="s">
        <v>121</v>
      </c>
      <c r="Q31" s="19">
        <v>1</v>
      </c>
      <c r="R31" s="31" t="s">
        <v>122</v>
      </c>
      <c r="S31" s="20" t="s">
        <v>119</v>
      </c>
      <c r="U31" s="20" t="s">
        <v>123</v>
      </c>
      <c r="V31" s="19" t="s">
        <v>124</v>
      </c>
      <c r="W31" s="19" t="s">
        <v>125</v>
      </c>
      <c r="X31" s="19" t="s">
        <v>126</v>
      </c>
      <c r="Y31" s="19">
        <v>10041</v>
      </c>
      <c r="Z31" s="19" t="s">
        <v>127</v>
      </c>
      <c r="AA31" s="19" t="s">
        <v>128</v>
      </c>
      <c r="AB31" s="19" t="s">
        <v>129</v>
      </c>
      <c r="AF31" s="19">
        <v>100</v>
      </c>
      <c r="AI31" s="36">
        <v>45957</v>
      </c>
      <c r="AJ31" s="47" t="s">
        <v>130</v>
      </c>
    </row>
    <row r="32" spans="1:36" ht="12.75">
      <c r="A32" s="19"/>
      <c r="B32" s="20"/>
      <c r="C32" s="20"/>
      <c r="D32" s="20"/>
      <c r="E32" s="20" t="s">
        <v>116</v>
      </c>
      <c r="F32" s="20" t="s">
        <v>131</v>
      </c>
      <c r="G32" s="22" t="s">
        <v>132</v>
      </c>
      <c r="I32" s="21">
        <v>45981</v>
      </c>
      <c r="J32" s="104">
        <v>-8308</v>
      </c>
      <c r="K32" s="23"/>
      <c r="L32" s="23"/>
      <c r="M32" s="23"/>
      <c r="O32" s="20" t="s">
        <v>120</v>
      </c>
      <c r="P32" s="20" t="s">
        <v>121</v>
      </c>
      <c r="Q32" s="19">
        <v>1</v>
      </c>
      <c r="R32" s="31" t="s">
        <v>122</v>
      </c>
      <c r="S32" s="20" t="s">
        <v>119</v>
      </c>
      <c r="U32" s="20" t="s">
        <v>123</v>
      </c>
      <c r="V32" s="19" t="s">
        <v>124</v>
      </c>
      <c r="W32" s="19" t="s">
        <v>125</v>
      </c>
      <c r="X32" s="19" t="s">
        <v>126</v>
      </c>
      <c r="Y32" s="19">
        <v>10041</v>
      </c>
      <c r="Z32" s="19" t="s">
        <v>127</v>
      </c>
      <c r="AA32" s="19" t="s">
        <v>128</v>
      </c>
      <c r="AB32" s="19" t="s">
        <v>129</v>
      </c>
      <c r="AF32" s="19">
        <v>100</v>
      </c>
      <c r="AI32" s="36">
        <v>45957</v>
      </c>
      <c r="AJ32" s="47" t="s">
        <v>130</v>
      </c>
    </row>
    <row r="33" spans="1:36" ht="12.75">
      <c r="A33" s="19"/>
      <c r="B33" s="20"/>
      <c r="C33" s="20"/>
      <c r="D33" s="20"/>
      <c r="E33" s="20" t="s">
        <v>116</v>
      </c>
      <c r="F33" s="20" t="s">
        <v>131</v>
      </c>
      <c r="G33" s="22" t="s">
        <v>132</v>
      </c>
      <c r="I33" s="21">
        <v>45981</v>
      </c>
      <c r="J33" s="104">
        <v>-60516</v>
      </c>
      <c r="K33" s="23"/>
      <c r="L33" s="23"/>
      <c r="M33" s="23"/>
      <c r="O33" s="20" t="s">
        <v>120</v>
      </c>
      <c r="P33" s="20" t="s">
        <v>121</v>
      </c>
      <c r="Q33" s="19">
        <v>1</v>
      </c>
      <c r="R33" s="31" t="s">
        <v>122</v>
      </c>
      <c r="S33" s="20" t="s">
        <v>119</v>
      </c>
      <c r="U33" s="20" t="s">
        <v>123</v>
      </c>
      <c r="V33" s="19" t="s">
        <v>124</v>
      </c>
      <c r="W33" s="19" t="s">
        <v>125</v>
      </c>
      <c r="X33" s="19" t="s">
        <v>126</v>
      </c>
      <c r="Y33" s="19">
        <v>10041</v>
      </c>
      <c r="Z33" s="19" t="s">
        <v>127</v>
      </c>
      <c r="AA33" s="19" t="s">
        <v>128</v>
      </c>
      <c r="AB33" s="19" t="s">
        <v>129</v>
      </c>
      <c r="AF33" s="19">
        <v>100</v>
      </c>
      <c r="AI33" s="36">
        <v>45957</v>
      </c>
      <c r="AJ33" s="47" t="s">
        <v>130</v>
      </c>
    </row>
    <row r="34" spans="1:36" ht="12.75">
      <c r="A34" s="19"/>
      <c r="B34" s="20"/>
      <c r="C34" s="20"/>
      <c r="D34" s="20"/>
      <c r="E34" s="20" t="s">
        <v>116</v>
      </c>
      <c r="F34" s="20" t="s">
        <v>131</v>
      </c>
      <c r="G34" s="22" t="s">
        <v>132</v>
      </c>
      <c r="I34" s="21">
        <v>45981</v>
      </c>
      <c r="J34" s="104">
        <v>-36748</v>
      </c>
      <c r="K34" s="23">
        <f>SUM(J3:J34)</f>
        <v>18705212</v>
      </c>
      <c r="L34" s="23"/>
      <c r="M34" s="23"/>
      <c r="O34" s="20" t="s">
        <v>120</v>
      </c>
      <c r="P34" s="20" t="s">
        <v>121</v>
      </c>
      <c r="Q34" s="19">
        <v>1</v>
      </c>
      <c r="R34" s="31" t="s">
        <v>122</v>
      </c>
      <c r="S34" s="20" t="s">
        <v>119</v>
      </c>
      <c r="U34" s="20" t="s">
        <v>123</v>
      </c>
      <c r="V34" s="19" t="s">
        <v>124</v>
      </c>
      <c r="W34" s="19" t="s">
        <v>125</v>
      </c>
      <c r="X34" s="19" t="s">
        <v>126</v>
      </c>
      <c r="Y34" s="19">
        <v>10041</v>
      </c>
      <c r="Z34" s="19" t="s">
        <v>127</v>
      </c>
      <c r="AA34" s="19" t="s">
        <v>128</v>
      </c>
      <c r="AB34" s="19" t="s">
        <v>129</v>
      </c>
      <c r="AF34" s="19">
        <v>100</v>
      </c>
      <c r="AI34" s="36">
        <v>45957</v>
      </c>
      <c r="AJ34" s="47" t="s">
        <v>130</v>
      </c>
    </row>
    <row r="35" spans="1:36" ht="15">
      <c r="A35" s="19"/>
      <c r="B35" s="20"/>
      <c r="C35" s="20"/>
      <c r="D35" s="20"/>
      <c r="E35" s="20"/>
      <c r="F35" s="20"/>
      <c r="G35" s="22"/>
      <c r="H35" s="21"/>
      <c r="I35" s="22"/>
      <c r="J35" s="23"/>
      <c r="K35" s="23"/>
      <c r="L35" s="23"/>
      <c r="M35" s="23"/>
      <c r="N35" s="22"/>
      <c r="O35" s="20"/>
      <c r="P35" s="20"/>
      <c r="Q35" s="19"/>
      <c r="R35" s="31"/>
      <c r="S35" s="20"/>
      <c r="U35" s="20"/>
      <c r="AA35" s="19"/>
      <c r="AB35" s="19"/>
      <c r="AC35" s="35"/>
      <c r="AF35" s="19"/>
      <c r="AI35" s="36"/>
    </row>
    <row r="36" spans="1:36" ht="12.95">
      <c r="A36" s="19"/>
      <c r="B36" s="20"/>
      <c r="C36" s="21"/>
      <c r="D36" s="20"/>
      <c r="E36" s="33" t="s">
        <v>133</v>
      </c>
      <c r="F36" s="20"/>
      <c r="G36" s="22"/>
      <c r="H36" s="21"/>
      <c r="I36" s="22"/>
      <c r="J36" s="24"/>
      <c r="K36" s="34">
        <f>SUM(K3:K35)</f>
        <v>18705212</v>
      </c>
      <c r="L36" s="23"/>
      <c r="M36" s="23"/>
      <c r="O36" s="20"/>
      <c r="P36" s="20"/>
    </row>
    <row r="37" spans="1:36" ht="12.95">
      <c r="A37" s="49"/>
      <c r="B37" s="50"/>
      <c r="C37" s="51"/>
      <c r="D37" s="50"/>
      <c r="E37" s="50"/>
      <c r="F37" s="50"/>
      <c r="G37" s="52"/>
      <c r="H37" s="51"/>
      <c r="I37" s="52"/>
      <c r="J37" s="53"/>
      <c r="K37" s="49"/>
      <c r="L37" s="49"/>
      <c r="M37" s="49"/>
      <c r="N37" s="54"/>
      <c r="O37" s="50"/>
      <c r="P37" s="50"/>
      <c r="Q37" s="54"/>
      <c r="R37" s="55"/>
      <c r="S37" s="54"/>
      <c r="T37" s="54"/>
      <c r="U37" s="52"/>
      <c r="V37" s="54"/>
      <c r="W37" s="54"/>
      <c r="X37" s="54"/>
      <c r="Y37" s="54"/>
      <c r="Z37" s="54"/>
      <c r="AA37" s="54"/>
      <c r="AB37" s="54"/>
      <c r="AC37" s="54"/>
      <c r="AD37" s="54"/>
      <c r="AE37" s="54"/>
      <c r="AF37" s="54"/>
      <c r="AG37" s="54"/>
      <c r="AH37" s="54"/>
      <c r="AI37" s="54"/>
      <c r="AJ37" s="54"/>
    </row>
    <row r="38" spans="1:36" ht="12.75">
      <c r="A38" s="19" t="s">
        <v>134</v>
      </c>
      <c r="B38" s="20" t="s">
        <v>135</v>
      </c>
      <c r="C38" s="20" t="s">
        <v>26</v>
      </c>
      <c r="D38" s="20" t="s">
        <v>136</v>
      </c>
      <c r="E38" s="20" t="s">
        <v>137</v>
      </c>
      <c r="F38" s="103" t="s">
        <v>138</v>
      </c>
      <c r="G38" s="103" t="s">
        <v>139</v>
      </c>
      <c r="H38" s="123">
        <v>45978</v>
      </c>
      <c r="J38" s="23">
        <v>50000</v>
      </c>
      <c r="O38" s="20" t="s">
        <v>120</v>
      </c>
      <c r="P38" s="20" t="s">
        <v>121</v>
      </c>
      <c r="Q38" s="19">
        <v>1</v>
      </c>
      <c r="R38" s="31" t="s">
        <v>122</v>
      </c>
      <c r="S38" s="20" t="s">
        <v>119</v>
      </c>
      <c r="U38" s="20" t="s">
        <v>123</v>
      </c>
      <c r="V38" s="19" t="s">
        <v>124</v>
      </c>
      <c r="W38" s="19" t="s">
        <v>125</v>
      </c>
      <c r="X38" s="19" t="s">
        <v>126</v>
      </c>
      <c r="Y38" s="19">
        <v>10041</v>
      </c>
      <c r="Z38" s="19" t="s">
        <v>127</v>
      </c>
      <c r="AA38" s="19" t="s">
        <v>128</v>
      </c>
      <c r="AB38" s="19" t="s">
        <v>129</v>
      </c>
      <c r="AF38" s="19">
        <v>100</v>
      </c>
      <c r="AI38" s="36">
        <v>45957</v>
      </c>
      <c r="AJ38" s="47" t="s">
        <v>130</v>
      </c>
    </row>
    <row r="39" spans="1:36" ht="12.75">
      <c r="A39" s="19"/>
      <c r="B39" s="20"/>
      <c r="C39" s="20"/>
      <c r="D39" s="20"/>
      <c r="E39" s="20" t="s">
        <v>137</v>
      </c>
      <c r="F39" s="103" t="s">
        <v>138</v>
      </c>
      <c r="G39" s="103" t="s">
        <v>139</v>
      </c>
      <c r="H39" s="123">
        <v>45978</v>
      </c>
      <c r="J39" s="23">
        <v>149700</v>
      </c>
      <c r="O39" s="20" t="s">
        <v>120</v>
      </c>
      <c r="P39" s="20" t="s">
        <v>121</v>
      </c>
      <c r="Q39" s="19">
        <v>1</v>
      </c>
      <c r="R39" s="31" t="s">
        <v>122</v>
      </c>
      <c r="S39" s="20" t="s">
        <v>119</v>
      </c>
      <c r="U39" s="20" t="s">
        <v>123</v>
      </c>
      <c r="V39" s="19" t="s">
        <v>124</v>
      </c>
      <c r="W39" s="19" t="s">
        <v>125</v>
      </c>
      <c r="X39" s="19" t="s">
        <v>126</v>
      </c>
      <c r="Y39" s="19">
        <v>10041</v>
      </c>
      <c r="Z39" s="19" t="s">
        <v>127</v>
      </c>
      <c r="AA39" s="19" t="s">
        <v>128</v>
      </c>
      <c r="AB39" s="19" t="s">
        <v>129</v>
      </c>
      <c r="AF39" s="19">
        <v>100</v>
      </c>
      <c r="AI39" s="36">
        <v>45957</v>
      </c>
      <c r="AJ39" s="47" t="s">
        <v>130</v>
      </c>
    </row>
    <row r="40" spans="1:36" ht="12.75">
      <c r="A40" s="19"/>
      <c r="B40" s="20"/>
      <c r="C40" s="20"/>
      <c r="D40" s="20"/>
      <c r="E40" s="20" t="s">
        <v>137</v>
      </c>
      <c r="F40" s="103" t="s">
        <v>138</v>
      </c>
      <c r="G40" s="103" t="s">
        <v>139</v>
      </c>
      <c r="H40" s="123">
        <v>45978</v>
      </c>
      <c r="J40" s="23">
        <v>1840658</v>
      </c>
      <c r="O40" s="20" t="s">
        <v>120</v>
      </c>
      <c r="P40" s="20" t="s">
        <v>121</v>
      </c>
      <c r="Q40" s="19">
        <v>1</v>
      </c>
      <c r="R40" s="31" t="s">
        <v>122</v>
      </c>
      <c r="S40" s="20" t="s">
        <v>119</v>
      </c>
      <c r="U40" s="20" t="s">
        <v>123</v>
      </c>
      <c r="V40" s="19" t="s">
        <v>124</v>
      </c>
      <c r="W40" s="19" t="s">
        <v>125</v>
      </c>
      <c r="X40" s="19" t="s">
        <v>126</v>
      </c>
      <c r="Y40" s="19">
        <v>10041</v>
      </c>
      <c r="Z40" s="19" t="s">
        <v>127</v>
      </c>
      <c r="AA40" s="19" t="s">
        <v>128</v>
      </c>
      <c r="AB40" s="19" t="s">
        <v>129</v>
      </c>
      <c r="AF40" s="19">
        <v>100</v>
      </c>
      <c r="AI40" s="36">
        <v>45957</v>
      </c>
      <c r="AJ40" s="47" t="s">
        <v>130</v>
      </c>
    </row>
    <row r="41" spans="1:36" ht="12.75">
      <c r="A41" s="19"/>
      <c r="B41" s="20"/>
      <c r="C41" s="20"/>
      <c r="D41" s="20"/>
      <c r="E41" s="20" t="s">
        <v>137</v>
      </c>
      <c r="F41" s="103" t="s">
        <v>138</v>
      </c>
      <c r="G41" s="103" t="s">
        <v>139</v>
      </c>
      <c r="H41" s="123">
        <v>45978</v>
      </c>
      <c r="J41" s="23">
        <v>2250000</v>
      </c>
      <c r="O41" s="20" t="s">
        <v>120</v>
      </c>
      <c r="P41" s="20" t="s">
        <v>121</v>
      </c>
      <c r="Q41" s="19">
        <v>1</v>
      </c>
      <c r="R41" s="31" t="s">
        <v>122</v>
      </c>
      <c r="S41" s="20" t="s">
        <v>119</v>
      </c>
      <c r="U41" s="20" t="s">
        <v>123</v>
      </c>
      <c r="V41" s="19" t="s">
        <v>124</v>
      </c>
      <c r="W41" s="19" t="s">
        <v>125</v>
      </c>
      <c r="X41" s="19" t="s">
        <v>126</v>
      </c>
      <c r="Y41" s="19">
        <v>10041</v>
      </c>
      <c r="Z41" s="19" t="s">
        <v>127</v>
      </c>
      <c r="AA41" s="19" t="s">
        <v>128</v>
      </c>
      <c r="AB41" s="19" t="s">
        <v>129</v>
      </c>
      <c r="AF41" s="19">
        <v>100</v>
      </c>
      <c r="AI41" s="36">
        <v>45957</v>
      </c>
      <c r="AJ41" s="47" t="s">
        <v>130</v>
      </c>
    </row>
    <row r="42" spans="1:36" ht="12.75">
      <c r="A42" s="19"/>
      <c r="B42" s="20"/>
      <c r="C42" s="20"/>
      <c r="D42" s="20"/>
      <c r="E42" s="20" t="s">
        <v>137</v>
      </c>
      <c r="F42" s="103" t="s">
        <v>138</v>
      </c>
      <c r="G42" s="103" t="s">
        <v>139</v>
      </c>
      <c r="H42" s="123">
        <v>45978</v>
      </c>
      <c r="J42" s="23">
        <v>900000</v>
      </c>
      <c r="O42" s="20" t="s">
        <v>120</v>
      </c>
      <c r="P42" s="20" t="s">
        <v>121</v>
      </c>
      <c r="Q42" s="19">
        <v>1</v>
      </c>
      <c r="R42" s="31" t="s">
        <v>122</v>
      </c>
      <c r="S42" s="20" t="s">
        <v>119</v>
      </c>
      <c r="U42" s="20" t="s">
        <v>123</v>
      </c>
      <c r="V42" s="19" t="s">
        <v>124</v>
      </c>
      <c r="W42" s="19" t="s">
        <v>125</v>
      </c>
      <c r="X42" s="19" t="s">
        <v>126</v>
      </c>
      <c r="Y42" s="19">
        <v>10041</v>
      </c>
      <c r="Z42" s="19" t="s">
        <v>127</v>
      </c>
      <c r="AA42" s="19" t="s">
        <v>128</v>
      </c>
      <c r="AB42" s="19" t="s">
        <v>129</v>
      </c>
      <c r="AF42" s="19">
        <v>100</v>
      </c>
      <c r="AI42" s="36">
        <v>45957</v>
      </c>
      <c r="AJ42" s="47" t="s">
        <v>130</v>
      </c>
    </row>
    <row r="43" spans="1:36" ht="12.75">
      <c r="A43" s="19"/>
      <c r="B43" s="20"/>
      <c r="C43" s="20"/>
      <c r="D43" s="20"/>
      <c r="E43" s="20" t="s">
        <v>137</v>
      </c>
      <c r="F43" s="103" t="s">
        <v>138</v>
      </c>
      <c r="G43" s="103" t="s">
        <v>139</v>
      </c>
      <c r="H43" s="123">
        <v>45978</v>
      </c>
      <c r="J43" s="23">
        <v>654040</v>
      </c>
      <c r="K43" s="105" t="s">
        <v>119</v>
      </c>
      <c r="O43" s="20" t="s">
        <v>120</v>
      </c>
      <c r="P43" s="20" t="s">
        <v>121</v>
      </c>
      <c r="Q43" s="19">
        <v>1</v>
      </c>
      <c r="R43" s="31" t="s">
        <v>122</v>
      </c>
      <c r="S43" s="20" t="s">
        <v>119</v>
      </c>
      <c r="U43" s="20" t="s">
        <v>123</v>
      </c>
      <c r="V43" s="19" t="s">
        <v>124</v>
      </c>
      <c r="W43" s="19" t="s">
        <v>125</v>
      </c>
      <c r="X43" s="19" t="s">
        <v>126</v>
      </c>
      <c r="Y43" s="19">
        <v>10041</v>
      </c>
      <c r="Z43" s="19" t="s">
        <v>127</v>
      </c>
      <c r="AA43" s="19" t="s">
        <v>128</v>
      </c>
      <c r="AB43" s="19" t="s">
        <v>129</v>
      </c>
      <c r="AF43" s="19">
        <v>100</v>
      </c>
      <c r="AI43" s="36">
        <v>45957</v>
      </c>
      <c r="AJ43" s="47" t="s">
        <v>130</v>
      </c>
    </row>
    <row r="44" spans="1:36" ht="12.75">
      <c r="A44" s="19"/>
      <c r="B44" s="20"/>
      <c r="C44" s="20"/>
      <c r="D44" s="20"/>
      <c r="E44" s="20" t="s">
        <v>137</v>
      </c>
      <c r="F44" s="103" t="s">
        <v>138</v>
      </c>
      <c r="G44" s="103" t="s">
        <v>139</v>
      </c>
      <c r="H44" s="21">
        <v>45979</v>
      </c>
      <c r="J44" s="23">
        <v>500000</v>
      </c>
      <c r="K44" s="105"/>
      <c r="O44" s="20" t="s">
        <v>120</v>
      </c>
      <c r="P44" s="20" t="s">
        <v>121</v>
      </c>
      <c r="Q44" s="19">
        <v>1</v>
      </c>
      <c r="R44" s="31" t="s">
        <v>122</v>
      </c>
      <c r="S44" s="20" t="s">
        <v>119</v>
      </c>
      <c r="U44" s="20" t="s">
        <v>123</v>
      </c>
      <c r="V44" s="19" t="s">
        <v>124</v>
      </c>
      <c r="W44" s="19" t="s">
        <v>125</v>
      </c>
      <c r="X44" s="19" t="s">
        <v>126</v>
      </c>
      <c r="Y44" s="19">
        <v>10041</v>
      </c>
      <c r="Z44" s="19" t="s">
        <v>127</v>
      </c>
      <c r="AA44" s="19" t="s">
        <v>128</v>
      </c>
      <c r="AB44" s="19" t="s">
        <v>129</v>
      </c>
      <c r="AF44" s="19">
        <v>100</v>
      </c>
      <c r="AI44" s="36">
        <v>45957</v>
      </c>
      <c r="AJ44" s="47" t="s">
        <v>130</v>
      </c>
    </row>
    <row r="45" spans="1:36" ht="12.75">
      <c r="A45" s="19"/>
      <c r="B45" s="20"/>
      <c r="C45" s="20"/>
      <c r="D45" s="20"/>
      <c r="E45" s="20" t="s">
        <v>137</v>
      </c>
      <c r="F45" s="103" t="s">
        <v>138</v>
      </c>
      <c r="G45" s="103" t="s">
        <v>139</v>
      </c>
      <c r="H45" s="21">
        <v>45979</v>
      </c>
      <c r="J45" s="23">
        <v>88890</v>
      </c>
      <c r="K45" s="105"/>
      <c r="O45" s="20" t="s">
        <v>120</v>
      </c>
      <c r="P45" s="20" t="s">
        <v>121</v>
      </c>
      <c r="Q45" s="19">
        <v>1</v>
      </c>
      <c r="R45" s="31" t="s">
        <v>122</v>
      </c>
      <c r="S45" s="20" t="s">
        <v>119</v>
      </c>
      <c r="U45" s="20" t="s">
        <v>123</v>
      </c>
      <c r="V45" s="19" t="s">
        <v>124</v>
      </c>
      <c r="W45" s="19" t="s">
        <v>125</v>
      </c>
      <c r="X45" s="19" t="s">
        <v>126</v>
      </c>
      <c r="Y45" s="19">
        <v>10041</v>
      </c>
      <c r="Z45" s="19" t="s">
        <v>127</v>
      </c>
      <c r="AA45" s="19" t="s">
        <v>128</v>
      </c>
      <c r="AB45" s="19" t="s">
        <v>129</v>
      </c>
      <c r="AF45" s="19">
        <v>100</v>
      </c>
      <c r="AI45" s="36">
        <v>45957</v>
      </c>
      <c r="AJ45" s="47" t="s">
        <v>130</v>
      </c>
    </row>
    <row r="46" spans="1:36" ht="12.75">
      <c r="A46" s="19"/>
      <c r="B46" s="20"/>
      <c r="C46" s="20"/>
      <c r="D46" s="20"/>
      <c r="E46" s="20" t="s">
        <v>137</v>
      </c>
      <c r="F46" s="103" t="s">
        <v>138</v>
      </c>
      <c r="G46" s="103" t="s">
        <v>139</v>
      </c>
      <c r="H46" s="21">
        <v>45979</v>
      </c>
      <c r="J46" s="23">
        <v>75318</v>
      </c>
      <c r="K46" s="105"/>
      <c r="O46" s="20" t="s">
        <v>120</v>
      </c>
      <c r="P46" s="20" t="s">
        <v>121</v>
      </c>
      <c r="Q46" s="19">
        <v>1</v>
      </c>
      <c r="R46" s="31" t="s">
        <v>122</v>
      </c>
      <c r="S46" s="20" t="s">
        <v>119</v>
      </c>
      <c r="U46" s="20" t="s">
        <v>123</v>
      </c>
      <c r="V46" s="19" t="s">
        <v>124</v>
      </c>
      <c r="W46" s="19" t="s">
        <v>125</v>
      </c>
      <c r="X46" s="19" t="s">
        <v>126</v>
      </c>
      <c r="Y46" s="19">
        <v>10041</v>
      </c>
      <c r="Z46" s="19" t="s">
        <v>127</v>
      </c>
      <c r="AA46" s="19" t="s">
        <v>128</v>
      </c>
      <c r="AB46" s="19" t="s">
        <v>129</v>
      </c>
      <c r="AF46" s="19">
        <v>100</v>
      </c>
      <c r="AI46" s="36">
        <v>45957</v>
      </c>
      <c r="AJ46" s="47" t="s">
        <v>130</v>
      </c>
    </row>
    <row r="47" spans="1:36" ht="12.75">
      <c r="A47" s="19"/>
      <c r="B47" s="20"/>
      <c r="C47" s="20"/>
      <c r="D47" s="20"/>
      <c r="E47" s="20" t="s">
        <v>137</v>
      </c>
      <c r="F47" s="103" t="s">
        <v>138</v>
      </c>
      <c r="G47" s="103" t="s">
        <v>139</v>
      </c>
      <c r="H47" s="21">
        <v>45979</v>
      </c>
      <c r="J47" s="23">
        <v>1000</v>
      </c>
      <c r="K47" s="105"/>
      <c r="O47" s="20" t="s">
        <v>120</v>
      </c>
      <c r="P47" s="20" t="s">
        <v>121</v>
      </c>
      <c r="Q47" s="19">
        <v>1</v>
      </c>
      <c r="R47" s="31" t="s">
        <v>122</v>
      </c>
      <c r="S47" s="20" t="s">
        <v>119</v>
      </c>
      <c r="U47" s="20" t="s">
        <v>123</v>
      </c>
      <c r="V47" s="19" t="s">
        <v>124</v>
      </c>
      <c r="W47" s="19" t="s">
        <v>125</v>
      </c>
      <c r="X47" s="19" t="s">
        <v>126</v>
      </c>
      <c r="Y47" s="19">
        <v>10041</v>
      </c>
      <c r="Z47" s="19" t="s">
        <v>127</v>
      </c>
      <c r="AA47" s="19" t="s">
        <v>128</v>
      </c>
      <c r="AB47" s="19" t="s">
        <v>129</v>
      </c>
      <c r="AF47" s="19">
        <v>100</v>
      </c>
      <c r="AI47" s="36">
        <v>45957</v>
      </c>
      <c r="AJ47" s="47" t="s">
        <v>130</v>
      </c>
    </row>
    <row r="48" spans="1:36" ht="12.75">
      <c r="A48" s="19"/>
      <c r="B48" s="20"/>
      <c r="C48" s="20"/>
      <c r="D48" s="20"/>
      <c r="E48" s="20" t="s">
        <v>137</v>
      </c>
      <c r="F48" s="103" t="s">
        <v>138</v>
      </c>
      <c r="G48" s="103" t="s">
        <v>139</v>
      </c>
      <c r="H48" s="21">
        <v>45979</v>
      </c>
      <c r="J48" s="23">
        <v>280000</v>
      </c>
      <c r="K48" s="105"/>
      <c r="O48" s="20" t="s">
        <v>120</v>
      </c>
      <c r="P48" s="20" t="s">
        <v>121</v>
      </c>
      <c r="Q48" s="19">
        <v>1</v>
      </c>
      <c r="R48" s="31" t="s">
        <v>122</v>
      </c>
      <c r="S48" s="20" t="s">
        <v>119</v>
      </c>
      <c r="U48" s="20" t="s">
        <v>123</v>
      </c>
      <c r="V48" s="19" t="s">
        <v>124</v>
      </c>
      <c r="W48" s="19" t="s">
        <v>125</v>
      </c>
      <c r="X48" s="19" t="s">
        <v>126</v>
      </c>
      <c r="Y48" s="19">
        <v>10041</v>
      </c>
      <c r="Z48" s="19" t="s">
        <v>127</v>
      </c>
      <c r="AA48" s="19" t="s">
        <v>128</v>
      </c>
      <c r="AB48" s="19" t="s">
        <v>129</v>
      </c>
      <c r="AF48" s="19">
        <v>100</v>
      </c>
      <c r="AI48" s="36">
        <v>45957</v>
      </c>
      <c r="AJ48" s="47" t="s">
        <v>130</v>
      </c>
    </row>
    <row r="49" spans="1:36" ht="12.75">
      <c r="A49" s="19"/>
      <c r="B49" s="20"/>
      <c r="C49" s="20"/>
      <c r="D49" s="20"/>
      <c r="E49" s="20" t="s">
        <v>137</v>
      </c>
      <c r="F49" s="103" t="s">
        <v>138</v>
      </c>
      <c r="G49" s="103" t="s">
        <v>139</v>
      </c>
      <c r="H49" s="21">
        <v>45979</v>
      </c>
      <c r="J49" s="23">
        <v>341953</v>
      </c>
      <c r="K49" s="105"/>
      <c r="O49" s="20" t="s">
        <v>120</v>
      </c>
      <c r="P49" s="20" t="s">
        <v>121</v>
      </c>
      <c r="Q49" s="19">
        <v>1</v>
      </c>
      <c r="R49" s="31" t="s">
        <v>122</v>
      </c>
      <c r="S49" s="20" t="s">
        <v>119</v>
      </c>
      <c r="U49" s="20" t="s">
        <v>123</v>
      </c>
      <c r="V49" s="19" t="s">
        <v>124</v>
      </c>
      <c r="W49" s="19" t="s">
        <v>125</v>
      </c>
      <c r="X49" s="19" t="s">
        <v>126</v>
      </c>
      <c r="Y49" s="19">
        <v>10041</v>
      </c>
      <c r="Z49" s="19" t="s">
        <v>127</v>
      </c>
      <c r="AA49" s="19" t="s">
        <v>128</v>
      </c>
      <c r="AB49" s="19" t="s">
        <v>129</v>
      </c>
      <c r="AF49" s="19">
        <v>100</v>
      </c>
      <c r="AI49" s="36">
        <v>45957</v>
      </c>
      <c r="AJ49" s="47" t="s">
        <v>130</v>
      </c>
    </row>
    <row r="50" spans="1:36" ht="12.75">
      <c r="A50" s="19"/>
      <c r="B50" s="20"/>
      <c r="C50" s="20"/>
      <c r="D50" s="20"/>
      <c r="E50" s="20" t="s">
        <v>137</v>
      </c>
      <c r="F50" s="103" t="s">
        <v>138</v>
      </c>
      <c r="G50" s="103" t="s">
        <v>139</v>
      </c>
      <c r="H50" s="21">
        <v>45979</v>
      </c>
      <c r="J50" s="23">
        <v>112586</v>
      </c>
      <c r="K50" s="105"/>
      <c r="O50" s="20" t="s">
        <v>120</v>
      </c>
      <c r="P50" s="20" t="s">
        <v>121</v>
      </c>
      <c r="Q50" s="19">
        <v>1</v>
      </c>
      <c r="R50" s="31" t="s">
        <v>122</v>
      </c>
      <c r="S50" s="20" t="s">
        <v>119</v>
      </c>
      <c r="U50" s="20" t="s">
        <v>123</v>
      </c>
      <c r="V50" s="19" t="s">
        <v>124</v>
      </c>
      <c r="W50" s="19" t="s">
        <v>125</v>
      </c>
      <c r="X50" s="19" t="s">
        <v>126</v>
      </c>
      <c r="Y50" s="19">
        <v>10041</v>
      </c>
      <c r="Z50" s="19" t="s">
        <v>127</v>
      </c>
      <c r="AA50" s="19" t="s">
        <v>128</v>
      </c>
      <c r="AB50" s="19" t="s">
        <v>129</v>
      </c>
      <c r="AF50" s="19">
        <v>100</v>
      </c>
      <c r="AI50" s="36">
        <v>45957</v>
      </c>
      <c r="AJ50" s="47" t="s">
        <v>130</v>
      </c>
    </row>
    <row r="51" spans="1:36" ht="12.75">
      <c r="A51" s="19"/>
      <c r="B51" s="20"/>
      <c r="C51" s="20"/>
      <c r="D51" s="20"/>
      <c r="E51" s="20" t="s">
        <v>137</v>
      </c>
      <c r="F51" s="103" t="s">
        <v>138</v>
      </c>
      <c r="G51" s="103" t="s">
        <v>139</v>
      </c>
      <c r="H51" s="21">
        <v>45979</v>
      </c>
      <c r="J51" s="23">
        <v>732456</v>
      </c>
      <c r="K51" s="105"/>
      <c r="O51" s="20" t="s">
        <v>120</v>
      </c>
      <c r="P51" s="20" t="s">
        <v>121</v>
      </c>
      <c r="Q51" s="19">
        <v>1</v>
      </c>
      <c r="R51" s="31" t="s">
        <v>122</v>
      </c>
      <c r="S51" s="20" t="s">
        <v>119</v>
      </c>
      <c r="U51" s="20" t="s">
        <v>123</v>
      </c>
      <c r="V51" s="19" t="s">
        <v>124</v>
      </c>
      <c r="W51" s="19" t="s">
        <v>125</v>
      </c>
      <c r="X51" s="19" t="s">
        <v>126</v>
      </c>
      <c r="Y51" s="19">
        <v>10041</v>
      </c>
      <c r="Z51" s="19" t="s">
        <v>127</v>
      </c>
      <c r="AA51" s="19" t="s">
        <v>128</v>
      </c>
      <c r="AB51" s="19" t="s">
        <v>129</v>
      </c>
      <c r="AF51" s="19">
        <v>100</v>
      </c>
      <c r="AI51" s="36">
        <v>45957</v>
      </c>
      <c r="AJ51" s="47" t="s">
        <v>130</v>
      </c>
    </row>
    <row r="52" spans="1:36" ht="12.75">
      <c r="A52" s="19"/>
      <c r="B52" s="20"/>
      <c r="C52" s="20"/>
      <c r="D52" s="20"/>
      <c r="E52" s="20" t="s">
        <v>137</v>
      </c>
      <c r="F52" s="103" t="s">
        <v>138</v>
      </c>
      <c r="G52" s="103" t="s">
        <v>139</v>
      </c>
      <c r="H52" s="21">
        <v>45979</v>
      </c>
      <c r="J52" s="23">
        <v>75000</v>
      </c>
      <c r="K52" s="105"/>
      <c r="O52" s="20" t="s">
        <v>120</v>
      </c>
      <c r="P52" s="20" t="s">
        <v>121</v>
      </c>
      <c r="Q52" s="19">
        <v>1</v>
      </c>
      <c r="R52" s="31" t="s">
        <v>122</v>
      </c>
      <c r="S52" s="20" t="s">
        <v>119</v>
      </c>
      <c r="U52" s="20" t="s">
        <v>123</v>
      </c>
      <c r="V52" s="19" t="s">
        <v>124</v>
      </c>
      <c r="W52" s="19" t="s">
        <v>125</v>
      </c>
      <c r="X52" s="19" t="s">
        <v>126</v>
      </c>
      <c r="Y52" s="19">
        <v>10041</v>
      </c>
      <c r="Z52" s="19" t="s">
        <v>127</v>
      </c>
      <c r="AA52" s="19" t="s">
        <v>128</v>
      </c>
      <c r="AB52" s="19" t="s">
        <v>129</v>
      </c>
      <c r="AF52" s="19">
        <v>100</v>
      </c>
      <c r="AI52" s="36">
        <v>45957</v>
      </c>
      <c r="AJ52" s="47" t="s">
        <v>130</v>
      </c>
    </row>
    <row r="53" spans="1:36" ht="12.75">
      <c r="A53" s="19"/>
      <c r="B53" s="20"/>
      <c r="C53" s="20"/>
      <c r="D53" s="20"/>
      <c r="E53" s="20" t="s">
        <v>137</v>
      </c>
      <c r="F53" s="103" t="s">
        <v>138</v>
      </c>
      <c r="G53" s="103" t="s">
        <v>139</v>
      </c>
      <c r="H53" s="21">
        <v>45979</v>
      </c>
      <c r="J53" s="23">
        <v>2504718</v>
      </c>
      <c r="K53" s="105"/>
      <c r="O53" s="20" t="s">
        <v>120</v>
      </c>
      <c r="P53" s="20" t="s">
        <v>121</v>
      </c>
      <c r="Q53" s="19">
        <v>1</v>
      </c>
      <c r="R53" s="31" t="s">
        <v>122</v>
      </c>
      <c r="S53" s="20" t="s">
        <v>119</v>
      </c>
      <c r="U53" s="20" t="s">
        <v>123</v>
      </c>
      <c r="V53" s="19" t="s">
        <v>124</v>
      </c>
      <c r="W53" s="19" t="s">
        <v>125</v>
      </c>
      <c r="X53" s="19" t="s">
        <v>126</v>
      </c>
      <c r="Y53" s="19">
        <v>10041</v>
      </c>
      <c r="Z53" s="19" t="s">
        <v>127</v>
      </c>
      <c r="AA53" s="19" t="s">
        <v>128</v>
      </c>
      <c r="AB53" s="19" t="s">
        <v>129</v>
      </c>
      <c r="AF53" s="19">
        <v>100</v>
      </c>
      <c r="AI53" s="36">
        <v>45957</v>
      </c>
      <c r="AJ53" s="47" t="s">
        <v>130</v>
      </c>
    </row>
    <row r="54" spans="1:36" ht="12.75">
      <c r="A54" s="19"/>
      <c r="B54" s="20"/>
      <c r="C54" s="20"/>
      <c r="D54" s="20"/>
      <c r="E54" s="20" t="s">
        <v>137</v>
      </c>
      <c r="F54" s="103" t="s">
        <v>138</v>
      </c>
      <c r="G54" s="103" t="s">
        <v>139</v>
      </c>
      <c r="H54" s="21">
        <v>45979</v>
      </c>
      <c r="J54" s="23">
        <v>813560</v>
      </c>
      <c r="K54" s="105"/>
      <c r="O54" s="20" t="s">
        <v>120</v>
      </c>
      <c r="P54" s="20" t="s">
        <v>121</v>
      </c>
      <c r="Q54" s="19">
        <v>1</v>
      </c>
      <c r="R54" s="31" t="s">
        <v>122</v>
      </c>
      <c r="S54" s="20" t="s">
        <v>119</v>
      </c>
      <c r="U54" s="20" t="s">
        <v>123</v>
      </c>
      <c r="V54" s="19" t="s">
        <v>124</v>
      </c>
      <c r="W54" s="19" t="s">
        <v>125</v>
      </c>
      <c r="X54" s="19" t="s">
        <v>126</v>
      </c>
      <c r="Y54" s="19">
        <v>10041</v>
      </c>
      <c r="Z54" s="19" t="s">
        <v>127</v>
      </c>
      <c r="AA54" s="19" t="s">
        <v>128</v>
      </c>
      <c r="AB54" s="19" t="s">
        <v>129</v>
      </c>
      <c r="AF54" s="19">
        <v>100</v>
      </c>
      <c r="AI54" s="36">
        <v>45957</v>
      </c>
      <c r="AJ54" s="47" t="s">
        <v>130</v>
      </c>
    </row>
    <row r="55" spans="1:36" ht="12.75">
      <c r="A55" s="19"/>
      <c r="B55" s="20"/>
      <c r="C55" s="20"/>
      <c r="D55" s="20"/>
      <c r="E55" s="20" t="s">
        <v>137</v>
      </c>
      <c r="F55" s="103" t="s">
        <v>138</v>
      </c>
      <c r="G55" s="103" t="s">
        <v>139</v>
      </c>
      <c r="H55" s="21">
        <v>45979</v>
      </c>
      <c r="J55" s="23">
        <v>216434</v>
      </c>
      <c r="K55" s="105"/>
      <c r="O55" s="20" t="s">
        <v>120</v>
      </c>
      <c r="P55" s="20" t="s">
        <v>121</v>
      </c>
      <c r="Q55" s="19">
        <v>1</v>
      </c>
      <c r="R55" s="31" t="s">
        <v>122</v>
      </c>
      <c r="S55" s="20" t="s">
        <v>119</v>
      </c>
      <c r="U55" s="20" t="s">
        <v>123</v>
      </c>
      <c r="V55" s="19" t="s">
        <v>124</v>
      </c>
      <c r="W55" s="19" t="s">
        <v>125</v>
      </c>
      <c r="X55" s="19" t="s">
        <v>126</v>
      </c>
      <c r="Y55" s="19">
        <v>10041</v>
      </c>
      <c r="Z55" s="19" t="s">
        <v>127</v>
      </c>
      <c r="AA55" s="19" t="s">
        <v>128</v>
      </c>
      <c r="AB55" s="19" t="s">
        <v>129</v>
      </c>
      <c r="AF55" s="19">
        <v>100</v>
      </c>
      <c r="AI55" s="36">
        <v>45957</v>
      </c>
      <c r="AJ55" s="47" t="s">
        <v>130</v>
      </c>
    </row>
    <row r="56" spans="1:36" ht="12.75">
      <c r="A56" s="19"/>
      <c r="B56" s="20"/>
      <c r="C56" s="20"/>
      <c r="D56" s="20"/>
      <c r="E56" s="20" t="s">
        <v>137</v>
      </c>
      <c r="F56" s="103" t="s">
        <v>138</v>
      </c>
      <c r="G56" s="103" t="s">
        <v>139</v>
      </c>
      <c r="H56" s="21">
        <v>45979</v>
      </c>
      <c r="J56" s="23">
        <v>543750</v>
      </c>
      <c r="K56" s="105"/>
      <c r="O56" s="20" t="s">
        <v>120</v>
      </c>
      <c r="P56" s="20" t="s">
        <v>121</v>
      </c>
      <c r="Q56" s="19">
        <v>1</v>
      </c>
      <c r="R56" s="31" t="s">
        <v>122</v>
      </c>
      <c r="S56" s="20" t="s">
        <v>119</v>
      </c>
      <c r="U56" s="20" t="s">
        <v>123</v>
      </c>
      <c r="V56" s="19" t="s">
        <v>124</v>
      </c>
      <c r="W56" s="19" t="s">
        <v>125</v>
      </c>
      <c r="X56" s="19" t="s">
        <v>126</v>
      </c>
      <c r="Y56" s="19">
        <v>10041</v>
      </c>
      <c r="Z56" s="19" t="s">
        <v>127</v>
      </c>
      <c r="AA56" s="19" t="s">
        <v>128</v>
      </c>
      <c r="AB56" s="19" t="s">
        <v>129</v>
      </c>
      <c r="AF56" s="19">
        <v>100</v>
      </c>
      <c r="AI56" s="36">
        <v>45957</v>
      </c>
      <c r="AJ56" s="47" t="s">
        <v>130</v>
      </c>
    </row>
    <row r="57" spans="1:36" ht="12.75">
      <c r="A57" s="19"/>
      <c r="B57" s="20"/>
      <c r="C57" s="20"/>
      <c r="D57" s="20"/>
      <c r="E57" s="20" t="s">
        <v>137</v>
      </c>
      <c r="F57" s="103" t="s">
        <v>138</v>
      </c>
      <c r="G57" s="103" t="s">
        <v>139</v>
      </c>
      <c r="H57" s="21">
        <v>45979</v>
      </c>
      <c r="J57" s="23">
        <v>391892</v>
      </c>
      <c r="K57" s="105" t="s">
        <v>119</v>
      </c>
      <c r="O57" s="20" t="s">
        <v>120</v>
      </c>
      <c r="P57" s="20" t="s">
        <v>121</v>
      </c>
      <c r="Q57" s="19">
        <v>1</v>
      </c>
      <c r="R57" s="31" t="s">
        <v>122</v>
      </c>
      <c r="S57" s="20" t="s">
        <v>119</v>
      </c>
      <c r="U57" s="20" t="s">
        <v>123</v>
      </c>
      <c r="V57" s="19" t="s">
        <v>124</v>
      </c>
      <c r="W57" s="19" t="s">
        <v>125</v>
      </c>
      <c r="X57" s="19" t="s">
        <v>126</v>
      </c>
      <c r="Y57" s="19">
        <v>10041</v>
      </c>
      <c r="Z57" s="19" t="s">
        <v>127</v>
      </c>
      <c r="AA57" s="19" t="s">
        <v>128</v>
      </c>
      <c r="AB57" s="19" t="s">
        <v>129</v>
      </c>
      <c r="AF57" s="19">
        <v>100</v>
      </c>
      <c r="AI57" s="36">
        <v>45957</v>
      </c>
      <c r="AJ57" s="47" t="s">
        <v>130</v>
      </c>
    </row>
    <row r="58" spans="1:36" ht="12.75">
      <c r="A58" s="19"/>
      <c r="B58" s="20"/>
      <c r="C58" s="20"/>
      <c r="D58" s="20"/>
      <c r="E58" s="20" t="s">
        <v>137</v>
      </c>
      <c r="F58" s="103" t="s">
        <v>138</v>
      </c>
      <c r="G58" s="103" t="s">
        <v>139</v>
      </c>
      <c r="H58" s="21">
        <v>45980</v>
      </c>
      <c r="J58" s="23">
        <v>174682</v>
      </c>
      <c r="K58" s="105"/>
      <c r="O58" s="20" t="s">
        <v>120</v>
      </c>
      <c r="P58" s="20" t="s">
        <v>121</v>
      </c>
      <c r="Q58" s="19">
        <v>1</v>
      </c>
      <c r="R58" s="31" t="s">
        <v>122</v>
      </c>
      <c r="S58" s="20" t="s">
        <v>119</v>
      </c>
      <c r="U58" s="20" t="s">
        <v>123</v>
      </c>
      <c r="V58" s="19" t="s">
        <v>124</v>
      </c>
      <c r="W58" s="19" t="s">
        <v>125</v>
      </c>
      <c r="X58" s="19" t="s">
        <v>126</v>
      </c>
      <c r="Y58" s="19">
        <v>10041</v>
      </c>
      <c r="Z58" s="19" t="s">
        <v>127</v>
      </c>
      <c r="AA58" s="19" t="s">
        <v>128</v>
      </c>
      <c r="AB58" s="19" t="s">
        <v>129</v>
      </c>
      <c r="AF58" s="19">
        <v>100</v>
      </c>
      <c r="AI58" s="36">
        <v>45957</v>
      </c>
      <c r="AJ58" s="47" t="s">
        <v>130</v>
      </c>
    </row>
    <row r="59" spans="1:36" ht="12.75">
      <c r="A59" s="19"/>
      <c r="B59" s="20"/>
      <c r="C59" s="20"/>
      <c r="D59" s="20"/>
      <c r="E59" s="20" t="s">
        <v>137</v>
      </c>
      <c r="F59" s="103" t="s">
        <v>138</v>
      </c>
      <c r="G59" s="103" t="s">
        <v>139</v>
      </c>
      <c r="H59" s="21">
        <v>45980</v>
      </c>
      <c r="J59" s="23">
        <v>1153678</v>
      </c>
      <c r="K59" s="105"/>
      <c r="O59" s="20" t="s">
        <v>120</v>
      </c>
      <c r="P59" s="20" t="s">
        <v>121</v>
      </c>
      <c r="Q59" s="19">
        <v>1</v>
      </c>
      <c r="R59" s="31" t="s">
        <v>122</v>
      </c>
      <c r="S59" s="20" t="s">
        <v>119</v>
      </c>
      <c r="U59" s="20" t="s">
        <v>123</v>
      </c>
      <c r="V59" s="19" t="s">
        <v>124</v>
      </c>
      <c r="W59" s="19" t="s">
        <v>125</v>
      </c>
      <c r="X59" s="19" t="s">
        <v>126</v>
      </c>
      <c r="Y59" s="19">
        <v>10041</v>
      </c>
      <c r="Z59" s="19" t="s">
        <v>127</v>
      </c>
      <c r="AA59" s="19" t="s">
        <v>128</v>
      </c>
      <c r="AB59" s="19" t="s">
        <v>129</v>
      </c>
      <c r="AF59" s="19">
        <v>100</v>
      </c>
      <c r="AI59" s="36">
        <v>45957</v>
      </c>
      <c r="AJ59" s="47" t="s">
        <v>130</v>
      </c>
    </row>
    <row r="60" spans="1:36" ht="12.75">
      <c r="A60" s="19"/>
      <c r="B60" s="20"/>
      <c r="C60" s="20"/>
      <c r="D60" s="20"/>
      <c r="E60" s="20" t="s">
        <v>137</v>
      </c>
      <c r="F60" s="103" t="s">
        <v>138</v>
      </c>
      <c r="G60" s="103" t="s">
        <v>139</v>
      </c>
      <c r="H60" s="21">
        <v>45980</v>
      </c>
      <c r="J60" s="23">
        <v>342247</v>
      </c>
      <c r="K60" s="105" t="s">
        <v>119</v>
      </c>
      <c r="O60" s="20" t="s">
        <v>120</v>
      </c>
      <c r="P60" s="20" t="s">
        <v>121</v>
      </c>
      <c r="Q60" s="19">
        <v>1</v>
      </c>
      <c r="R60" s="31" t="s">
        <v>122</v>
      </c>
      <c r="S60" s="20" t="s">
        <v>119</v>
      </c>
      <c r="U60" s="20" t="s">
        <v>123</v>
      </c>
      <c r="V60" s="19" t="s">
        <v>124</v>
      </c>
      <c r="W60" s="19" t="s">
        <v>125</v>
      </c>
      <c r="X60" s="19" t="s">
        <v>126</v>
      </c>
      <c r="Y60" s="19">
        <v>10041</v>
      </c>
      <c r="Z60" s="19" t="s">
        <v>127</v>
      </c>
      <c r="AA60" s="19" t="s">
        <v>128</v>
      </c>
      <c r="AB60" s="19" t="s">
        <v>129</v>
      </c>
      <c r="AF60" s="19">
        <v>100</v>
      </c>
      <c r="AI60" s="36">
        <v>45957</v>
      </c>
      <c r="AJ60" s="47" t="s">
        <v>130</v>
      </c>
    </row>
    <row r="61" spans="1:36" ht="12.75">
      <c r="A61" s="19"/>
      <c r="B61" s="20"/>
      <c r="C61" s="20"/>
      <c r="D61" s="20"/>
      <c r="E61" s="20" t="s">
        <v>137</v>
      </c>
      <c r="F61" s="103" t="s">
        <v>138</v>
      </c>
      <c r="G61" s="103" t="s">
        <v>139</v>
      </c>
      <c r="H61" s="21">
        <v>45981</v>
      </c>
      <c r="J61" s="23">
        <v>50000</v>
      </c>
      <c r="K61" s="105"/>
      <c r="O61" s="20" t="s">
        <v>120</v>
      </c>
      <c r="P61" s="20" t="s">
        <v>121</v>
      </c>
      <c r="Q61" s="19">
        <v>1</v>
      </c>
      <c r="R61" s="31" t="s">
        <v>122</v>
      </c>
      <c r="S61" s="20" t="s">
        <v>119</v>
      </c>
      <c r="U61" s="20" t="s">
        <v>123</v>
      </c>
      <c r="V61" s="19" t="s">
        <v>124</v>
      </c>
      <c r="W61" s="19" t="s">
        <v>125</v>
      </c>
      <c r="X61" s="19" t="s">
        <v>126</v>
      </c>
      <c r="Y61" s="19">
        <v>10041</v>
      </c>
      <c r="Z61" s="19" t="s">
        <v>127</v>
      </c>
      <c r="AA61" s="19" t="s">
        <v>128</v>
      </c>
      <c r="AB61" s="19" t="s">
        <v>129</v>
      </c>
      <c r="AF61" s="19">
        <v>100</v>
      </c>
      <c r="AI61" s="36">
        <v>45957</v>
      </c>
      <c r="AJ61" s="47" t="s">
        <v>130</v>
      </c>
    </row>
    <row r="62" spans="1:36" ht="12.75">
      <c r="A62" s="19"/>
      <c r="B62" s="20"/>
      <c r="C62" s="20"/>
      <c r="D62" s="20"/>
      <c r="E62" s="20" t="s">
        <v>137</v>
      </c>
      <c r="F62" s="103" t="s">
        <v>138</v>
      </c>
      <c r="G62" s="103" t="s">
        <v>139</v>
      </c>
      <c r="H62" s="21">
        <v>45981</v>
      </c>
      <c r="J62" s="23">
        <v>550600</v>
      </c>
      <c r="K62" s="105"/>
      <c r="O62" s="20" t="s">
        <v>120</v>
      </c>
      <c r="P62" s="20" t="s">
        <v>121</v>
      </c>
      <c r="Q62" s="19">
        <v>1</v>
      </c>
      <c r="R62" s="31" t="s">
        <v>122</v>
      </c>
      <c r="S62" s="20" t="s">
        <v>119</v>
      </c>
      <c r="U62" s="20" t="s">
        <v>123</v>
      </c>
      <c r="V62" s="19" t="s">
        <v>124</v>
      </c>
      <c r="W62" s="19" t="s">
        <v>125</v>
      </c>
      <c r="X62" s="19" t="s">
        <v>126</v>
      </c>
      <c r="Y62" s="19">
        <v>10041</v>
      </c>
      <c r="Z62" s="19" t="s">
        <v>127</v>
      </c>
      <c r="AA62" s="19" t="s">
        <v>128</v>
      </c>
      <c r="AB62" s="19" t="s">
        <v>129</v>
      </c>
      <c r="AF62" s="19">
        <v>100</v>
      </c>
      <c r="AI62" s="36">
        <v>45957</v>
      </c>
      <c r="AJ62" s="47" t="s">
        <v>130</v>
      </c>
    </row>
    <row r="63" spans="1:36" ht="12.75">
      <c r="A63" s="19"/>
      <c r="B63" s="20"/>
      <c r="C63" s="20"/>
      <c r="D63" s="20"/>
      <c r="E63" s="20" t="s">
        <v>137</v>
      </c>
      <c r="F63" s="103" t="s">
        <v>138</v>
      </c>
      <c r="G63" s="103" t="s">
        <v>139</v>
      </c>
      <c r="H63" s="21">
        <v>45981</v>
      </c>
      <c r="J63" s="23">
        <v>813252</v>
      </c>
      <c r="K63" s="105"/>
      <c r="O63" s="20" t="s">
        <v>120</v>
      </c>
      <c r="P63" s="20" t="s">
        <v>121</v>
      </c>
      <c r="Q63" s="19">
        <v>1</v>
      </c>
      <c r="R63" s="31" t="s">
        <v>122</v>
      </c>
      <c r="S63" s="20" t="s">
        <v>119</v>
      </c>
      <c r="U63" s="20" t="s">
        <v>123</v>
      </c>
      <c r="V63" s="19" t="s">
        <v>124</v>
      </c>
      <c r="W63" s="19" t="s">
        <v>125</v>
      </c>
      <c r="X63" s="19" t="s">
        <v>126</v>
      </c>
      <c r="Y63" s="19">
        <v>10041</v>
      </c>
      <c r="Z63" s="19" t="s">
        <v>127</v>
      </c>
      <c r="AA63" s="19" t="s">
        <v>128</v>
      </c>
      <c r="AB63" s="19" t="s">
        <v>129</v>
      </c>
      <c r="AF63" s="19">
        <v>100</v>
      </c>
      <c r="AI63" s="36">
        <v>45957</v>
      </c>
      <c r="AJ63" s="47" t="s">
        <v>130</v>
      </c>
    </row>
    <row r="64" spans="1:36" ht="12.75">
      <c r="A64" s="19"/>
      <c r="B64" s="20"/>
      <c r="C64" s="20"/>
      <c r="D64" s="20"/>
      <c r="E64" s="20" t="s">
        <v>137</v>
      </c>
      <c r="F64" s="103" t="s">
        <v>138</v>
      </c>
      <c r="G64" s="103" t="s">
        <v>139</v>
      </c>
      <c r="H64" s="21">
        <v>45981</v>
      </c>
      <c r="J64" s="23">
        <v>41692</v>
      </c>
      <c r="K64" s="105"/>
      <c r="O64" s="20" t="s">
        <v>120</v>
      </c>
      <c r="P64" s="20" t="s">
        <v>121</v>
      </c>
      <c r="Q64" s="19">
        <v>1</v>
      </c>
      <c r="R64" s="31" t="s">
        <v>122</v>
      </c>
      <c r="S64" s="20" t="s">
        <v>119</v>
      </c>
      <c r="U64" s="20" t="s">
        <v>123</v>
      </c>
      <c r="V64" s="19" t="s">
        <v>124</v>
      </c>
      <c r="W64" s="19" t="s">
        <v>125</v>
      </c>
      <c r="X64" s="19" t="s">
        <v>126</v>
      </c>
      <c r="Y64" s="19">
        <v>10041</v>
      </c>
      <c r="Z64" s="19" t="s">
        <v>127</v>
      </c>
      <c r="AA64" s="19" t="s">
        <v>128</v>
      </c>
      <c r="AB64" s="19" t="s">
        <v>129</v>
      </c>
      <c r="AF64" s="19">
        <v>100</v>
      </c>
      <c r="AI64" s="36">
        <v>45957</v>
      </c>
      <c r="AJ64" s="47" t="s">
        <v>130</v>
      </c>
    </row>
    <row r="65" spans="1:36" ht="12.75">
      <c r="A65" s="19"/>
      <c r="B65" s="20"/>
      <c r="C65" s="20"/>
      <c r="D65" s="20"/>
      <c r="E65" s="20" t="s">
        <v>137</v>
      </c>
      <c r="F65" s="103" t="s">
        <v>138</v>
      </c>
      <c r="G65" s="103" t="s">
        <v>139</v>
      </c>
      <c r="H65" s="21">
        <v>45981</v>
      </c>
      <c r="J65" s="23">
        <v>11110</v>
      </c>
      <c r="K65" s="105"/>
      <c r="O65" s="20" t="s">
        <v>120</v>
      </c>
      <c r="P65" s="20" t="s">
        <v>121</v>
      </c>
      <c r="Q65" s="19">
        <v>1</v>
      </c>
      <c r="R65" s="31" t="s">
        <v>122</v>
      </c>
      <c r="S65" s="20" t="s">
        <v>119</v>
      </c>
      <c r="U65" s="20" t="s">
        <v>123</v>
      </c>
      <c r="V65" s="19" t="s">
        <v>124</v>
      </c>
      <c r="W65" s="19" t="s">
        <v>125</v>
      </c>
      <c r="X65" s="19" t="s">
        <v>126</v>
      </c>
      <c r="Y65" s="19">
        <v>10041</v>
      </c>
      <c r="Z65" s="19" t="s">
        <v>127</v>
      </c>
      <c r="AA65" s="19" t="s">
        <v>128</v>
      </c>
      <c r="AB65" s="19" t="s">
        <v>129</v>
      </c>
      <c r="AF65" s="19">
        <v>100</v>
      </c>
      <c r="AI65" s="36">
        <v>45957</v>
      </c>
      <c r="AJ65" s="47" t="s">
        <v>130</v>
      </c>
    </row>
    <row r="66" spans="1:36" ht="12.75">
      <c r="A66" s="19"/>
      <c r="B66" s="20"/>
      <c r="C66" s="20"/>
      <c r="D66" s="20"/>
      <c r="E66" s="20" t="s">
        <v>137</v>
      </c>
      <c r="F66" s="103" t="s">
        <v>138</v>
      </c>
      <c r="G66" s="103" t="s">
        <v>139</v>
      </c>
      <c r="H66" s="21">
        <v>45981</v>
      </c>
      <c r="J66" s="23">
        <v>8308</v>
      </c>
      <c r="K66" s="105"/>
      <c r="O66" s="20" t="s">
        <v>120</v>
      </c>
      <c r="P66" s="20" t="s">
        <v>121</v>
      </c>
      <c r="Q66" s="19">
        <v>1</v>
      </c>
      <c r="R66" s="31" t="s">
        <v>122</v>
      </c>
      <c r="S66" s="20" t="s">
        <v>119</v>
      </c>
      <c r="U66" s="20" t="s">
        <v>123</v>
      </c>
      <c r="V66" s="19" t="s">
        <v>124</v>
      </c>
      <c r="W66" s="19" t="s">
        <v>125</v>
      </c>
      <c r="X66" s="19" t="s">
        <v>126</v>
      </c>
      <c r="Y66" s="19">
        <v>10041</v>
      </c>
      <c r="Z66" s="19" t="s">
        <v>127</v>
      </c>
      <c r="AA66" s="19" t="s">
        <v>128</v>
      </c>
      <c r="AB66" s="19" t="s">
        <v>129</v>
      </c>
      <c r="AF66" s="19">
        <v>100</v>
      </c>
      <c r="AI66" s="36">
        <v>45957</v>
      </c>
      <c r="AJ66" s="47" t="s">
        <v>130</v>
      </c>
    </row>
    <row r="67" spans="1:36" ht="12.75">
      <c r="A67" s="19"/>
      <c r="B67" s="20"/>
      <c r="C67" s="20"/>
      <c r="D67" s="20"/>
      <c r="E67" s="20" t="s">
        <v>137</v>
      </c>
      <c r="F67" s="103" t="s">
        <v>138</v>
      </c>
      <c r="G67" s="103" t="s">
        <v>139</v>
      </c>
      <c r="H67" s="21">
        <v>45981</v>
      </c>
      <c r="J67" s="23">
        <v>60516</v>
      </c>
      <c r="K67" s="105"/>
      <c r="O67" s="20" t="s">
        <v>120</v>
      </c>
      <c r="P67" s="20" t="s">
        <v>121</v>
      </c>
      <c r="Q67" s="19">
        <v>1</v>
      </c>
      <c r="R67" s="31" t="s">
        <v>122</v>
      </c>
      <c r="S67" s="20" t="s">
        <v>119</v>
      </c>
      <c r="U67" s="20" t="s">
        <v>123</v>
      </c>
      <c r="V67" s="19" t="s">
        <v>124</v>
      </c>
      <c r="W67" s="19" t="s">
        <v>125</v>
      </c>
      <c r="X67" s="19" t="s">
        <v>126</v>
      </c>
      <c r="Y67" s="19">
        <v>10041</v>
      </c>
      <c r="Z67" s="19" t="s">
        <v>127</v>
      </c>
      <c r="AA67" s="19" t="s">
        <v>128</v>
      </c>
      <c r="AB67" s="19" t="s">
        <v>129</v>
      </c>
      <c r="AF67" s="19">
        <v>100</v>
      </c>
      <c r="AI67" s="36">
        <v>45957</v>
      </c>
      <c r="AJ67" s="47" t="s">
        <v>130</v>
      </c>
    </row>
    <row r="68" spans="1:36" ht="12.75">
      <c r="A68" s="19"/>
      <c r="B68" s="20"/>
      <c r="C68" s="20"/>
      <c r="D68" s="20"/>
      <c r="E68" s="20" t="s">
        <v>137</v>
      </c>
      <c r="F68" s="103" t="s">
        <v>138</v>
      </c>
      <c r="G68" s="103" t="s">
        <v>139</v>
      </c>
      <c r="H68" s="21">
        <v>45981</v>
      </c>
      <c r="J68" s="23">
        <v>36748</v>
      </c>
      <c r="K68" s="105">
        <f>SUM(J38:J68)</f>
        <v>15764788</v>
      </c>
      <c r="O68" s="20" t="s">
        <v>120</v>
      </c>
      <c r="P68" s="20" t="s">
        <v>121</v>
      </c>
      <c r="Q68" s="19">
        <v>1</v>
      </c>
      <c r="R68" s="31" t="s">
        <v>122</v>
      </c>
      <c r="S68" s="20" t="s">
        <v>119</v>
      </c>
      <c r="U68" s="20" t="s">
        <v>123</v>
      </c>
      <c r="V68" s="19" t="s">
        <v>124</v>
      </c>
      <c r="W68" s="19" t="s">
        <v>125</v>
      </c>
      <c r="X68" s="19" t="s">
        <v>126</v>
      </c>
      <c r="Y68" s="19">
        <v>10041</v>
      </c>
      <c r="Z68" s="19" t="s">
        <v>127</v>
      </c>
      <c r="AA68" s="19" t="s">
        <v>128</v>
      </c>
      <c r="AB68" s="19" t="s">
        <v>129</v>
      </c>
      <c r="AF68" s="19">
        <v>100</v>
      </c>
      <c r="AI68" s="36">
        <v>45957</v>
      </c>
      <c r="AJ68" s="47" t="s">
        <v>130</v>
      </c>
    </row>
    <row r="69" spans="1:36" ht="12.75">
      <c r="A69" s="19"/>
      <c r="B69" s="20"/>
      <c r="C69" s="20"/>
      <c r="D69" s="20"/>
      <c r="E69" s="20"/>
    </row>
    <row r="70" spans="1:36" ht="12.95">
      <c r="A70" s="19"/>
      <c r="B70" s="20"/>
      <c r="C70" s="21"/>
      <c r="D70" s="20"/>
      <c r="E70" s="33" t="s">
        <v>140</v>
      </c>
      <c r="F70" s="20"/>
      <c r="G70" s="22"/>
      <c r="H70" s="21"/>
      <c r="I70" s="22"/>
      <c r="J70" s="23"/>
      <c r="K70" s="34">
        <f>SUM(K38:K69)</f>
        <v>15764788</v>
      </c>
      <c r="L70" s="23"/>
      <c r="M70" s="23"/>
      <c r="O70" s="20"/>
      <c r="P70" s="20"/>
      <c r="R70" s="32"/>
      <c r="U70" s="22"/>
    </row>
    <row r="71" spans="1:36" ht="12.95">
      <c r="A71" s="49"/>
      <c r="B71" s="50"/>
      <c r="C71" s="51"/>
      <c r="D71" s="50"/>
      <c r="E71" s="50"/>
      <c r="F71" s="50"/>
      <c r="G71" s="52"/>
      <c r="H71" s="51"/>
      <c r="I71" s="52"/>
      <c r="J71" s="53"/>
      <c r="K71" s="53"/>
      <c r="L71" s="53"/>
      <c r="M71" s="53"/>
      <c r="N71" s="54"/>
      <c r="O71" s="50"/>
      <c r="P71" s="50"/>
      <c r="Q71" s="54"/>
      <c r="R71" s="55"/>
      <c r="S71" s="54"/>
      <c r="T71" s="54"/>
      <c r="U71" s="52"/>
      <c r="V71" s="54"/>
      <c r="W71" s="54"/>
      <c r="X71" s="54"/>
      <c r="Y71" s="54"/>
      <c r="Z71" s="54"/>
      <c r="AA71" s="54"/>
      <c r="AB71" s="54"/>
      <c r="AC71" s="54"/>
      <c r="AD71" s="54"/>
      <c r="AE71" s="54"/>
      <c r="AF71" s="54"/>
      <c r="AG71" s="54"/>
      <c r="AH71" s="54"/>
      <c r="AI71" s="54"/>
      <c r="AJ71" s="54"/>
    </row>
    <row r="72" spans="1:36" ht="15">
      <c r="A72" s="19" t="s">
        <v>141</v>
      </c>
      <c r="B72" s="20" t="s">
        <v>142</v>
      </c>
      <c r="C72" s="20" t="s">
        <v>142</v>
      </c>
      <c r="D72" s="20" t="s">
        <v>142</v>
      </c>
      <c r="E72" s="20" t="s">
        <v>143</v>
      </c>
      <c r="F72" s="20" t="s">
        <v>117</v>
      </c>
      <c r="G72" s="22" t="s">
        <v>139</v>
      </c>
      <c r="H72" s="21">
        <v>45959</v>
      </c>
      <c r="I72" s="22"/>
      <c r="J72" s="23">
        <v>11150000</v>
      </c>
      <c r="K72" s="23">
        <f>SUM(J72)</f>
        <v>11150000</v>
      </c>
      <c r="L72" s="23"/>
      <c r="M72" s="23"/>
      <c r="N72" s="20" t="s">
        <v>144</v>
      </c>
      <c r="O72" s="20" t="s">
        <v>120</v>
      </c>
      <c r="P72" s="20" t="s">
        <v>121</v>
      </c>
      <c r="Q72" s="18">
        <v>2</v>
      </c>
      <c r="R72" s="32" t="s">
        <v>145</v>
      </c>
      <c r="S72" s="18" t="s">
        <v>119</v>
      </c>
      <c r="T72" s="18" t="s">
        <v>119</v>
      </c>
      <c r="U72" s="22" t="s">
        <v>146</v>
      </c>
      <c r="V72" s="18" t="s">
        <v>147</v>
      </c>
      <c r="W72" s="18" t="s">
        <v>148</v>
      </c>
      <c r="X72" s="18" t="s">
        <v>149</v>
      </c>
      <c r="Y72" s="18">
        <v>32963</v>
      </c>
      <c r="Z72" s="18" t="s">
        <v>127</v>
      </c>
      <c r="AC72" s="35"/>
      <c r="AI72" s="36">
        <v>45957</v>
      </c>
      <c r="AJ72" s="47" t="s">
        <v>130</v>
      </c>
    </row>
    <row r="73" spans="1:36" ht="15">
      <c r="A73" s="19"/>
      <c r="B73" s="20"/>
      <c r="C73" s="20"/>
      <c r="D73" s="20"/>
      <c r="E73" s="20" t="s">
        <v>143</v>
      </c>
      <c r="F73" s="20" t="s">
        <v>117</v>
      </c>
      <c r="G73" s="22" t="s">
        <v>139</v>
      </c>
      <c r="H73" s="21">
        <v>45959</v>
      </c>
      <c r="I73" s="22"/>
      <c r="J73" s="23">
        <v>100000</v>
      </c>
      <c r="K73" s="23">
        <f>SUM(J73)</f>
        <v>100000</v>
      </c>
      <c r="L73" s="23"/>
      <c r="M73" s="23"/>
      <c r="N73" s="20" t="s">
        <v>144</v>
      </c>
      <c r="O73" s="20" t="s">
        <v>120</v>
      </c>
      <c r="P73" s="20" t="s">
        <v>121</v>
      </c>
      <c r="Q73" s="18">
        <v>3</v>
      </c>
      <c r="R73" s="32" t="s">
        <v>150</v>
      </c>
      <c r="S73" s="18" t="s">
        <v>151</v>
      </c>
      <c r="U73" s="22" t="s">
        <v>152</v>
      </c>
      <c r="V73" s="18" t="s">
        <v>153</v>
      </c>
      <c r="W73" s="18" t="s">
        <v>148</v>
      </c>
      <c r="X73" s="18" t="s">
        <v>149</v>
      </c>
      <c r="Y73" s="18">
        <v>32963</v>
      </c>
      <c r="Z73" s="18" t="s">
        <v>127</v>
      </c>
      <c r="AC73" s="35" t="s">
        <v>154</v>
      </c>
      <c r="AI73" s="36">
        <v>45957</v>
      </c>
      <c r="AJ73" s="47" t="s">
        <v>130</v>
      </c>
    </row>
    <row r="74" spans="1:36" ht="15">
      <c r="A74" s="19"/>
      <c r="B74" s="20"/>
      <c r="C74" s="20"/>
      <c r="D74" s="20"/>
      <c r="E74" s="20" t="s">
        <v>143</v>
      </c>
      <c r="F74" s="20" t="s">
        <v>117</v>
      </c>
      <c r="G74" s="22" t="s">
        <v>139</v>
      </c>
      <c r="H74" s="21">
        <v>45959</v>
      </c>
      <c r="I74" s="22"/>
      <c r="J74" s="23">
        <v>30000</v>
      </c>
      <c r="K74" s="23">
        <f t="shared" ref="K74:K79" si="0">SUM(J74)</f>
        <v>30000</v>
      </c>
      <c r="L74" s="23"/>
      <c r="M74" s="23"/>
      <c r="N74" s="20" t="s">
        <v>144</v>
      </c>
      <c r="O74" s="20" t="s">
        <v>120</v>
      </c>
      <c r="P74" s="20" t="s">
        <v>121</v>
      </c>
      <c r="Q74" s="18">
        <v>4</v>
      </c>
      <c r="R74" s="32" t="s">
        <v>155</v>
      </c>
      <c r="S74" s="18" t="s">
        <v>156</v>
      </c>
      <c r="U74" s="22" t="s">
        <v>152</v>
      </c>
      <c r="V74" s="18" t="s">
        <v>153</v>
      </c>
      <c r="W74" s="18" t="s">
        <v>148</v>
      </c>
      <c r="X74" s="18" t="s">
        <v>149</v>
      </c>
      <c r="Y74" s="18">
        <v>32963</v>
      </c>
      <c r="Z74" s="18" t="s">
        <v>127</v>
      </c>
      <c r="AC74" s="35" t="s">
        <v>157</v>
      </c>
      <c r="AI74" s="36">
        <v>45957</v>
      </c>
      <c r="AJ74" s="47" t="s">
        <v>130</v>
      </c>
    </row>
    <row r="75" spans="1:36" ht="15">
      <c r="A75" s="19"/>
      <c r="B75" s="20"/>
      <c r="C75" s="20"/>
      <c r="D75" s="20"/>
      <c r="E75" s="20" t="s">
        <v>143</v>
      </c>
      <c r="F75" s="20" t="s">
        <v>117</v>
      </c>
      <c r="G75" s="22" t="s">
        <v>139</v>
      </c>
      <c r="H75" s="21">
        <v>45959</v>
      </c>
      <c r="I75" s="22"/>
      <c r="J75" s="23">
        <v>30000</v>
      </c>
      <c r="K75" s="23">
        <f t="shared" si="0"/>
        <v>30000</v>
      </c>
      <c r="L75" s="23"/>
      <c r="M75" s="23"/>
      <c r="N75" s="20" t="s">
        <v>144</v>
      </c>
      <c r="O75" s="20" t="s">
        <v>120</v>
      </c>
      <c r="P75" s="20" t="s">
        <v>121</v>
      </c>
      <c r="Q75" s="18">
        <v>5</v>
      </c>
      <c r="R75" s="32" t="s">
        <v>158</v>
      </c>
      <c r="S75" s="18" t="s">
        <v>159</v>
      </c>
      <c r="U75" s="22" t="s">
        <v>152</v>
      </c>
      <c r="V75" s="18" t="s">
        <v>153</v>
      </c>
      <c r="W75" s="18" t="s">
        <v>148</v>
      </c>
      <c r="X75" s="18" t="s">
        <v>149</v>
      </c>
      <c r="Y75" s="18">
        <v>32963</v>
      </c>
      <c r="Z75" s="18" t="s">
        <v>127</v>
      </c>
      <c r="AC75" s="35" t="s">
        <v>160</v>
      </c>
      <c r="AI75" s="36">
        <v>45957</v>
      </c>
      <c r="AJ75" s="47" t="s">
        <v>130</v>
      </c>
    </row>
    <row r="76" spans="1:36" ht="15">
      <c r="A76" s="19"/>
      <c r="B76" s="20"/>
      <c r="C76" s="20"/>
      <c r="D76" s="20"/>
      <c r="E76" s="20" t="s">
        <v>143</v>
      </c>
      <c r="F76" s="20" t="s">
        <v>117</v>
      </c>
      <c r="G76" s="22" t="s">
        <v>139</v>
      </c>
      <c r="H76" s="21">
        <v>45959</v>
      </c>
      <c r="I76" s="22"/>
      <c r="J76" s="23">
        <v>30000</v>
      </c>
      <c r="K76" s="23">
        <f t="shared" si="0"/>
        <v>30000</v>
      </c>
      <c r="L76" s="23"/>
      <c r="M76" s="23"/>
      <c r="N76" s="20" t="s">
        <v>144</v>
      </c>
      <c r="O76" s="20" t="s">
        <v>120</v>
      </c>
      <c r="P76" s="20" t="s">
        <v>121</v>
      </c>
      <c r="Q76" s="18">
        <v>6</v>
      </c>
      <c r="R76" s="32" t="s">
        <v>161</v>
      </c>
      <c r="S76" s="18" t="s">
        <v>162</v>
      </c>
      <c r="U76" s="22" t="s">
        <v>152</v>
      </c>
      <c r="V76" s="18" t="s">
        <v>153</v>
      </c>
      <c r="W76" s="18" t="s">
        <v>148</v>
      </c>
      <c r="X76" s="18" t="s">
        <v>149</v>
      </c>
      <c r="Y76" s="18">
        <v>32963</v>
      </c>
      <c r="Z76" s="18" t="s">
        <v>127</v>
      </c>
      <c r="AC76" s="35" t="s">
        <v>163</v>
      </c>
      <c r="AI76" s="36">
        <v>45957</v>
      </c>
      <c r="AJ76" s="47" t="s">
        <v>130</v>
      </c>
    </row>
    <row r="77" spans="1:36" ht="15">
      <c r="A77" s="19"/>
      <c r="B77" s="20"/>
      <c r="C77" s="20"/>
      <c r="D77" s="20"/>
      <c r="E77" s="20" t="s">
        <v>143</v>
      </c>
      <c r="F77" s="20" t="s">
        <v>117</v>
      </c>
      <c r="G77" s="22" t="s">
        <v>139</v>
      </c>
      <c r="H77" s="21">
        <v>45959</v>
      </c>
      <c r="I77" s="22"/>
      <c r="J77" s="23">
        <v>50000</v>
      </c>
      <c r="K77" s="23">
        <f t="shared" si="0"/>
        <v>50000</v>
      </c>
      <c r="L77" s="23"/>
      <c r="M77" s="23"/>
      <c r="N77" s="20" t="s">
        <v>144</v>
      </c>
      <c r="O77" s="20" t="s">
        <v>120</v>
      </c>
      <c r="P77" s="20" t="s">
        <v>121</v>
      </c>
      <c r="Q77" s="18">
        <v>7</v>
      </c>
      <c r="R77" s="32" t="s">
        <v>164</v>
      </c>
      <c r="S77" s="18" t="s">
        <v>165</v>
      </c>
      <c r="U77" s="22" t="s">
        <v>152</v>
      </c>
      <c r="V77" s="18" t="s">
        <v>153</v>
      </c>
      <c r="W77" s="18" t="s">
        <v>148</v>
      </c>
      <c r="X77" s="18" t="s">
        <v>149</v>
      </c>
      <c r="Y77" s="18">
        <v>32963</v>
      </c>
      <c r="Z77" s="18" t="s">
        <v>127</v>
      </c>
      <c r="AC77" s="35" t="s">
        <v>166</v>
      </c>
      <c r="AI77" s="36">
        <v>45957</v>
      </c>
      <c r="AJ77" s="47" t="s">
        <v>130</v>
      </c>
    </row>
    <row r="78" spans="1:36" ht="15">
      <c r="A78" s="19"/>
      <c r="B78" s="20"/>
      <c r="C78" s="20"/>
      <c r="D78" s="20"/>
      <c r="E78" s="20" t="s">
        <v>143</v>
      </c>
      <c r="F78" s="20" t="s">
        <v>117</v>
      </c>
      <c r="G78" s="22" t="s">
        <v>139</v>
      </c>
      <c r="H78" s="21">
        <v>45959</v>
      </c>
      <c r="I78" s="22"/>
      <c r="J78" s="23">
        <v>50000</v>
      </c>
      <c r="K78" s="23">
        <f t="shared" si="0"/>
        <v>50000</v>
      </c>
      <c r="L78" s="23"/>
      <c r="M78" s="23"/>
      <c r="N78" s="20" t="s">
        <v>144</v>
      </c>
      <c r="O78" s="20" t="s">
        <v>120</v>
      </c>
      <c r="P78" s="20" t="s">
        <v>121</v>
      </c>
      <c r="Q78" s="18">
        <v>8</v>
      </c>
      <c r="R78" s="32" t="s">
        <v>167</v>
      </c>
      <c r="S78" s="18" t="s">
        <v>168</v>
      </c>
      <c r="U78" s="22" t="s">
        <v>152</v>
      </c>
      <c r="V78" s="18" t="s">
        <v>153</v>
      </c>
      <c r="W78" s="18" t="s">
        <v>148</v>
      </c>
      <c r="X78" s="18" t="s">
        <v>149</v>
      </c>
      <c r="Y78" s="18">
        <v>32963</v>
      </c>
      <c r="Z78" s="18" t="s">
        <v>127</v>
      </c>
      <c r="AC78" s="35" t="s">
        <v>169</v>
      </c>
      <c r="AI78" s="36">
        <v>45957</v>
      </c>
      <c r="AJ78" s="47" t="s">
        <v>130</v>
      </c>
    </row>
    <row r="79" spans="1:36" ht="15">
      <c r="A79" s="19"/>
      <c r="B79" s="20"/>
      <c r="C79" s="20"/>
      <c r="D79" s="20"/>
      <c r="E79" s="20" t="s">
        <v>143</v>
      </c>
      <c r="F79" s="20" t="s">
        <v>117</v>
      </c>
      <c r="G79" s="22" t="s">
        <v>139</v>
      </c>
      <c r="H79" s="21">
        <v>45959</v>
      </c>
      <c r="I79" s="22"/>
      <c r="J79" s="23">
        <v>50000</v>
      </c>
      <c r="K79" s="23">
        <f t="shared" si="0"/>
        <v>50000</v>
      </c>
      <c r="L79" s="23"/>
      <c r="M79" s="23"/>
      <c r="N79" s="20" t="s">
        <v>144</v>
      </c>
      <c r="O79" s="20" t="s">
        <v>120</v>
      </c>
      <c r="P79" s="20" t="s">
        <v>121</v>
      </c>
      <c r="Q79" s="18">
        <v>9</v>
      </c>
      <c r="R79" s="32" t="s">
        <v>170</v>
      </c>
      <c r="S79" s="18" t="s">
        <v>171</v>
      </c>
      <c r="U79" s="22" t="s">
        <v>152</v>
      </c>
      <c r="V79" s="18" t="s">
        <v>153</v>
      </c>
      <c r="W79" s="18" t="s">
        <v>148</v>
      </c>
      <c r="X79" s="18" t="s">
        <v>149</v>
      </c>
      <c r="Y79" s="18">
        <v>32963</v>
      </c>
      <c r="Z79" s="18" t="s">
        <v>127</v>
      </c>
      <c r="AC79" s="35" t="s">
        <v>172</v>
      </c>
      <c r="AI79" s="36">
        <v>45957</v>
      </c>
      <c r="AJ79" s="47" t="s">
        <v>130</v>
      </c>
    </row>
    <row r="80" spans="1:36" ht="15">
      <c r="A80" s="19"/>
      <c r="B80" s="20"/>
      <c r="C80" s="20"/>
      <c r="D80" s="20"/>
      <c r="E80" s="20"/>
      <c r="F80" s="20"/>
      <c r="G80" s="22"/>
      <c r="H80" s="21"/>
      <c r="I80" s="22"/>
      <c r="J80" s="23"/>
      <c r="K80" s="23"/>
      <c r="L80" s="23"/>
      <c r="M80" s="23"/>
      <c r="N80" s="22"/>
      <c r="O80" s="20"/>
      <c r="P80" s="20"/>
      <c r="R80" s="32"/>
      <c r="U80" s="22"/>
      <c r="AC80" s="35"/>
      <c r="AI80" s="36"/>
    </row>
    <row r="81" spans="1:36" ht="12.95">
      <c r="A81" s="19"/>
      <c r="B81" s="20"/>
      <c r="C81" s="21"/>
      <c r="D81" s="20"/>
      <c r="E81" s="33" t="s">
        <v>140</v>
      </c>
      <c r="F81" s="20"/>
      <c r="G81" s="22"/>
      <c r="H81" s="21"/>
      <c r="I81" s="22"/>
      <c r="J81" s="23"/>
      <c r="K81" s="34">
        <f>SUM(K72:K80)</f>
        <v>11490000</v>
      </c>
      <c r="L81" s="23"/>
      <c r="M81" s="23"/>
      <c r="O81" s="20"/>
      <c r="P81" s="20"/>
      <c r="R81" s="32"/>
      <c r="U81" s="22"/>
    </row>
    <row r="82" spans="1:36" ht="12.95">
      <c r="A82" s="49"/>
      <c r="B82" s="50"/>
      <c r="C82" s="51"/>
      <c r="D82" s="50"/>
      <c r="E82" s="50"/>
      <c r="F82" s="50"/>
      <c r="G82" s="52"/>
      <c r="H82" s="51"/>
      <c r="I82" s="52"/>
      <c r="J82" s="53"/>
      <c r="K82" s="53"/>
      <c r="L82" s="53"/>
      <c r="M82" s="53"/>
      <c r="N82" s="54"/>
      <c r="O82" s="50"/>
      <c r="P82" s="50"/>
      <c r="Q82" s="54"/>
      <c r="R82" s="55"/>
      <c r="S82" s="54"/>
      <c r="T82" s="54"/>
      <c r="U82" s="52"/>
      <c r="V82" s="54"/>
      <c r="W82" s="54"/>
      <c r="X82" s="54"/>
      <c r="Y82" s="54"/>
      <c r="Z82" s="54"/>
      <c r="AA82" s="54"/>
      <c r="AB82" s="54"/>
      <c r="AC82" s="54"/>
      <c r="AD82" s="54"/>
      <c r="AE82" s="54"/>
      <c r="AF82" s="54"/>
      <c r="AG82" s="54"/>
      <c r="AH82" s="54"/>
      <c r="AI82" s="54"/>
      <c r="AJ82" s="54"/>
    </row>
    <row r="83" spans="1:36" ht="15">
      <c r="A83" s="19" t="s">
        <v>173</v>
      </c>
      <c r="B83" s="20" t="s">
        <v>174</v>
      </c>
      <c r="C83" s="20" t="s">
        <v>26</v>
      </c>
      <c r="D83" s="20" t="s">
        <v>175</v>
      </c>
      <c r="E83" s="20" t="s">
        <v>176</v>
      </c>
      <c r="F83" s="20" t="s">
        <v>117</v>
      </c>
      <c r="G83" s="22" t="s">
        <v>139</v>
      </c>
      <c r="H83" s="21">
        <v>45959</v>
      </c>
      <c r="I83" s="22"/>
      <c r="J83" s="23">
        <v>5447000</v>
      </c>
      <c r="K83" s="24">
        <f>SUM(J83)</f>
        <v>5447000</v>
      </c>
      <c r="L83" s="23"/>
      <c r="M83" s="23"/>
      <c r="N83" s="18" t="s">
        <v>177</v>
      </c>
      <c r="O83" s="20" t="s">
        <v>120</v>
      </c>
      <c r="P83" s="20" t="s">
        <v>121</v>
      </c>
      <c r="Q83" s="18">
        <v>2</v>
      </c>
      <c r="R83" s="32" t="s">
        <v>145</v>
      </c>
      <c r="S83" s="18" t="s">
        <v>119</v>
      </c>
      <c r="T83" s="18" t="s">
        <v>119</v>
      </c>
      <c r="U83" s="22" t="s">
        <v>146</v>
      </c>
      <c r="V83" s="18" t="s">
        <v>147</v>
      </c>
      <c r="W83" s="18" t="s">
        <v>148</v>
      </c>
      <c r="X83" s="18" t="s">
        <v>149</v>
      </c>
      <c r="Y83" s="18">
        <v>32963</v>
      </c>
      <c r="Z83" s="18" t="s">
        <v>127</v>
      </c>
      <c r="AC83" s="35"/>
      <c r="AI83" s="36">
        <v>45957</v>
      </c>
      <c r="AJ83" s="47" t="s">
        <v>130</v>
      </c>
    </row>
    <row r="84" spans="1:36" ht="35.25">
      <c r="A84" s="19"/>
      <c r="B84" s="20"/>
      <c r="C84" s="20"/>
      <c r="D84" s="20"/>
      <c r="E84" s="20" t="s">
        <v>176</v>
      </c>
      <c r="F84" s="20" t="s">
        <v>117</v>
      </c>
      <c r="G84" s="22" t="s">
        <v>139</v>
      </c>
      <c r="H84" s="21">
        <v>45959</v>
      </c>
      <c r="I84" s="22"/>
      <c r="J84" s="23">
        <v>3274650</v>
      </c>
      <c r="K84" s="24">
        <f>SUM(J84)</f>
        <v>3274650</v>
      </c>
      <c r="L84" s="23"/>
      <c r="M84" s="23"/>
      <c r="N84" s="18" t="s">
        <v>178</v>
      </c>
      <c r="O84" s="20" t="s">
        <v>120</v>
      </c>
      <c r="P84" s="20" t="s">
        <v>121</v>
      </c>
      <c r="Q84" s="18">
        <v>10</v>
      </c>
      <c r="R84" s="61" t="s">
        <v>179</v>
      </c>
      <c r="U84" s="22" t="s">
        <v>180</v>
      </c>
      <c r="V84" s="29" t="s">
        <v>181</v>
      </c>
      <c r="W84" s="19" t="s">
        <v>125</v>
      </c>
      <c r="X84" s="19" t="s">
        <v>126</v>
      </c>
      <c r="Y84" s="30">
        <v>10019</v>
      </c>
      <c r="Z84" s="19" t="s">
        <v>127</v>
      </c>
      <c r="AI84" s="36">
        <v>45957</v>
      </c>
      <c r="AJ84" s="47" t="s">
        <v>130</v>
      </c>
    </row>
    <row r="85" spans="1:36" ht="24">
      <c r="A85" s="19"/>
      <c r="B85" s="20"/>
      <c r="C85" s="20"/>
      <c r="D85" s="20"/>
      <c r="E85" s="20" t="s">
        <v>176</v>
      </c>
      <c r="F85" s="20" t="s">
        <v>117</v>
      </c>
      <c r="G85" s="22" t="s">
        <v>139</v>
      </c>
      <c r="H85" s="21">
        <v>45959</v>
      </c>
      <c r="I85" s="22"/>
      <c r="J85" s="23">
        <v>172350</v>
      </c>
      <c r="K85" s="24">
        <f>SUM(J85)</f>
        <v>172350</v>
      </c>
      <c r="L85" s="23"/>
      <c r="M85" s="23"/>
      <c r="N85" s="18" t="s">
        <v>178</v>
      </c>
      <c r="O85" s="20" t="s">
        <v>120</v>
      </c>
      <c r="P85" s="20" t="s">
        <v>121</v>
      </c>
      <c r="Q85" s="18">
        <v>11</v>
      </c>
      <c r="R85" s="61" t="s">
        <v>182</v>
      </c>
      <c r="U85" s="22" t="s">
        <v>146</v>
      </c>
      <c r="V85" s="29" t="s">
        <v>183</v>
      </c>
      <c r="W85" s="19" t="s">
        <v>125</v>
      </c>
      <c r="X85" s="19" t="s">
        <v>126</v>
      </c>
      <c r="Y85" s="30">
        <v>10007</v>
      </c>
      <c r="Z85" s="19" t="s">
        <v>127</v>
      </c>
      <c r="AI85" s="36">
        <v>45957</v>
      </c>
      <c r="AJ85" s="47"/>
    </row>
    <row r="86" spans="1:36" ht="12.75">
      <c r="A86" s="19"/>
      <c r="B86" s="20"/>
      <c r="C86" s="20"/>
      <c r="D86" s="20"/>
      <c r="E86" s="20" t="s">
        <v>176</v>
      </c>
      <c r="F86" s="20" t="s">
        <v>138</v>
      </c>
      <c r="G86" s="22" t="s">
        <v>139</v>
      </c>
      <c r="H86" s="21">
        <v>45978</v>
      </c>
      <c r="I86" s="22"/>
      <c r="J86" s="23">
        <v>25000</v>
      </c>
      <c r="K86" s="24"/>
      <c r="L86" s="23"/>
      <c r="M86" s="23"/>
      <c r="O86" s="20" t="s">
        <v>120</v>
      </c>
      <c r="P86" s="20" t="s">
        <v>121</v>
      </c>
      <c r="Q86" s="19">
        <v>1</v>
      </c>
      <c r="R86" s="31" t="s">
        <v>122</v>
      </c>
      <c r="S86" s="20" t="s">
        <v>119</v>
      </c>
      <c r="U86" s="20" t="s">
        <v>123</v>
      </c>
      <c r="V86" s="19" t="s">
        <v>124</v>
      </c>
      <c r="W86" s="19" t="s">
        <v>125</v>
      </c>
      <c r="X86" s="19" t="s">
        <v>126</v>
      </c>
      <c r="Y86" s="19">
        <v>10041</v>
      </c>
      <c r="Z86" s="19" t="s">
        <v>127</v>
      </c>
      <c r="AA86" s="19" t="s">
        <v>128</v>
      </c>
      <c r="AB86" s="19" t="s">
        <v>129</v>
      </c>
      <c r="AF86" s="19">
        <v>100</v>
      </c>
      <c r="AI86" s="36">
        <v>45957</v>
      </c>
      <c r="AJ86" s="47" t="s">
        <v>130</v>
      </c>
    </row>
    <row r="87" spans="1:36" ht="12.75">
      <c r="A87" s="19"/>
      <c r="B87" s="20"/>
      <c r="C87" s="20"/>
      <c r="D87" s="20"/>
      <c r="E87" s="20" t="s">
        <v>176</v>
      </c>
      <c r="F87" s="20" t="s">
        <v>138</v>
      </c>
      <c r="G87" s="22" t="s">
        <v>139</v>
      </c>
      <c r="H87" s="21">
        <v>45978</v>
      </c>
      <c r="I87" s="22"/>
      <c r="J87" s="23">
        <v>74850</v>
      </c>
      <c r="K87" s="24"/>
      <c r="L87" s="23"/>
      <c r="M87" s="23"/>
      <c r="O87" s="20" t="s">
        <v>120</v>
      </c>
      <c r="P87" s="20" t="s">
        <v>121</v>
      </c>
      <c r="Q87" s="19">
        <v>1</v>
      </c>
      <c r="R87" s="31" t="s">
        <v>122</v>
      </c>
      <c r="S87" s="20" t="s">
        <v>119</v>
      </c>
      <c r="U87" s="20" t="s">
        <v>123</v>
      </c>
      <c r="V87" s="19" t="s">
        <v>124</v>
      </c>
      <c r="W87" s="19" t="s">
        <v>125</v>
      </c>
      <c r="X87" s="19" t="s">
        <v>126</v>
      </c>
      <c r="Y87" s="19">
        <v>10041</v>
      </c>
      <c r="Z87" s="19" t="s">
        <v>127</v>
      </c>
      <c r="AA87" s="19" t="s">
        <v>128</v>
      </c>
      <c r="AB87" s="19" t="s">
        <v>129</v>
      </c>
      <c r="AF87" s="19">
        <v>100</v>
      </c>
      <c r="AI87" s="36">
        <v>45957</v>
      </c>
      <c r="AJ87" s="47" t="s">
        <v>130</v>
      </c>
    </row>
    <row r="88" spans="1:36" ht="12.75">
      <c r="A88" s="19"/>
      <c r="B88" s="20"/>
      <c r="C88" s="20"/>
      <c r="D88" s="20"/>
      <c r="E88" s="20" t="s">
        <v>176</v>
      </c>
      <c r="F88" s="20" t="s">
        <v>138</v>
      </c>
      <c r="G88" s="22" t="s">
        <v>139</v>
      </c>
      <c r="H88" s="21">
        <v>45978</v>
      </c>
      <c r="I88" s="22"/>
      <c r="J88" s="23">
        <v>920329</v>
      </c>
      <c r="K88" s="24"/>
      <c r="L88" s="23"/>
      <c r="M88" s="23"/>
      <c r="O88" s="20" t="s">
        <v>120</v>
      </c>
      <c r="P88" s="20" t="s">
        <v>121</v>
      </c>
      <c r="Q88" s="19">
        <v>1</v>
      </c>
      <c r="R88" s="31" t="s">
        <v>122</v>
      </c>
      <c r="S88" s="20" t="s">
        <v>119</v>
      </c>
      <c r="U88" s="20" t="s">
        <v>123</v>
      </c>
      <c r="V88" s="19" t="s">
        <v>124</v>
      </c>
      <c r="W88" s="19" t="s">
        <v>125</v>
      </c>
      <c r="X88" s="19" t="s">
        <v>126</v>
      </c>
      <c r="Y88" s="19">
        <v>10041</v>
      </c>
      <c r="Z88" s="19" t="s">
        <v>127</v>
      </c>
      <c r="AA88" s="19" t="s">
        <v>128</v>
      </c>
      <c r="AB88" s="19" t="s">
        <v>129</v>
      </c>
      <c r="AF88" s="19">
        <v>100</v>
      </c>
      <c r="AI88" s="36">
        <v>45957</v>
      </c>
      <c r="AJ88" s="47" t="s">
        <v>130</v>
      </c>
    </row>
    <row r="89" spans="1:36" ht="12.75">
      <c r="A89" s="19"/>
      <c r="B89" s="20"/>
      <c r="C89" s="20"/>
      <c r="D89" s="20"/>
      <c r="E89" s="20" t="s">
        <v>176</v>
      </c>
      <c r="F89" s="20" t="s">
        <v>138</v>
      </c>
      <c r="G89" s="22" t="s">
        <v>139</v>
      </c>
      <c r="H89" s="21">
        <v>45978</v>
      </c>
      <c r="I89" s="22"/>
      <c r="J89" s="23">
        <v>1125000</v>
      </c>
      <c r="K89" s="24"/>
      <c r="L89" s="23"/>
      <c r="M89" s="23"/>
      <c r="O89" s="20" t="s">
        <v>120</v>
      </c>
      <c r="P89" s="20" t="s">
        <v>121</v>
      </c>
      <c r="Q89" s="19">
        <v>1</v>
      </c>
      <c r="R89" s="31" t="s">
        <v>122</v>
      </c>
      <c r="S89" s="20" t="s">
        <v>119</v>
      </c>
      <c r="U89" s="20" t="s">
        <v>123</v>
      </c>
      <c r="V89" s="19" t="s">
        <v>124</v>
      </c>
      <c r="W89" s="19" t="s">
        <v>125</v>
      </c>
      <c r="X89" s="19" t="s">
        <v>126</v>
      </c>
      <c r="Y89" s="19">
        <v>10041</v>
      </c>
      <c r="Z89" s="19" t="s">
        <v>127</v>
      </c>
      <c r="AA89" s="19" t="s">
        <v>128</v>
      </c>
      <c r="AB89" s="19" t="s">
        <v>129</v>
      </c>
      <c r="AF89" s="19">
        <v>100</v>
      </c>
      <c r="AI89" s="36">
        <v>45957</v>
      </c>
      <c r="AJ89" s="47" t="s">
        <v>130</v>
      </c>
    </row>
    <row r="90" spans="1:36" ht="12.75">
      <c r="A90" s="19"/>
      <c r="B90" s="20"/>
      <c r="C90" s="20"/>
      <c r="D90" s="20"/>
      <c r="E90" s="20" t="s">
        <v>176</v>
      </c>
      <c r="F90" s="20" t="s">
        <v>138</v>
      </c>
      <c r="G90" s="22" t="s">
        <v>139</v>
      </c>
      <c r="H90" s="21">
        <v>45978</v>
      </c>
      <c r="I90" s="22"/>
      <c r="J90" s="23">
        <v>450000</v>
      </c>
      <c r="K90" s="24"/>
      <c r="L90" s="23"/>
      <c r="M90" s="23"/>
      <c r="O90" s="20" t="s">
        <v>120</v>
      </c>
      <c r="P90" s="20" t="s">
        <v>121</v>
      </c>
      <c r="Q90" s="19">
        <v>1</v>
      </c>
      <c r="R90" s="31" t="s">
        <v>122</v>
      </c>
      <c r="S90" s="20" t="s">
        <v>119</v>
      </c>
      <c r="U90" s="20" t="s">
        <v>123</v>
      </c>
      <c r="V90" s="19" t="s">
        <v>124</v>
      </c>
      <c r="W90" s="19" t="s">
        <v>125</v>
      </c>
      <c r="X90" s="19" t="s">
        <v>126</v>
      </c>
      <c r="Y90" s="19">
        <v>10041</v>
      </c>
      <c r="Z90" s="19" t="s">
        <v>127</v>
      </c>
      <c r="AA90" s="19" t="s">
        <v>128</v>
      </c>
      <c r="AB90" s="19" t="s">
        <v>129</v>
      </c>
      <c r="AF90" s="19">
        <v>100</v>
      </c>
      <c r="AI90" s="36">
        <v>45957</v>
      </c>
      <c r="AJ90" s="47" t="s">
        <v>130</v>
      </c>
    </row>
    <row r="91" spans="1:36" ht="12.75">
      <c r="A91" s="19"/>
      <c r="B91" s="20"/>
      <c r="C91" s="20"/>
      <c r="D91" s="20"/>
      <c r="E91" s="20" t="s">
        <v>176</v>
      </c>
      <c r="F91" s="20" t="s">
        <v>138</v>
      </c>
      <c r="G91" s="22" t="s">
        <v>139</v>
      </c>
      <c r="H91" s="21">
        <v>45978</v>
      </c>
      <c r="I91" s="22"/>
      <c r="J91" s="23">
        <v>327020</v>
      </c>
      <c r="K91" s="24" t="s">
        <v>119</v>
      </c>
      <c r="L91" s="23"/>
      <c r="M91" s="23"/>
      <c r="O91" s="20" t="s">
        <v>120</v>
      </c>
      <c r="P91" s="20" t="s">
        <v>121</v>
      </c>
      <c r="Q91" s="19">
        <v>1</v>
      </c>
      <c r="R91" s="31" t="s">
        <v>122</v>
      </c>
      <c r="S91" s="20" t="s">
        <v>119</v>
      </c>
      <c r="U91" s="20" t="s">
        <v>123</v>
      </c>
      <c r="V91" s="19" t="s">
        <v>124</v>
      </c>
      <c r="W91" s="19" t="s">
        <v>125</v>
      </c>
      <c r="X91" s="19" t="s">
        <v>126</v>
      </c>
      <c r="Y91" s="19">
        <v>10041</v>
      </c>
      <c r="Z91" s="19" t="s">
        <v>127</v>
      </c>
      <c r="AA91" s="19" t="s">
        <v>128</v>
      </c>
      <c r="AB91" s="19" t="s">
        <v>129</v>
      </c>
      <c r="AF91" s="19">
        <v>100</v>
      </c>
      <c r="AI91" s="36">
        <v>45957</v>
      </c>
      <c r="AJ91" s="47" t="s">
        <v>130</v>
      </c>
    </row>
    <row r="92" spans="1:36" ht="12.75">
      <c r="A92" s="19"/>
      <c r="B92" s="20"/>
      <c r="C92" s="20"/>
      <c r="D92" s="20"/>
      <c r="E92" s="20" t="s">
        <v>176</v>
      </c>
      <c r="F92" s="20" t="s">
        <v>138</v>
      </c>
      <c r="G92" s="22" t="s">
        <v>139</v>
      </c>
      <c r="H92" s="21">
        <v>45979</v>
      </c>
      <c r="I92" s="22"/>
      <c r="J92" s="23">
        <v>250000</v>
      </c>
      <c r="K92" s="24"/>
      <c r="L92" s="23"/>
      <c r="M92" s="23"/>
      <c r="O92" s="20" t="s">
        <v>120</v>
      </c>
      <c r="P92" s="20" t="s">
        <v>121</v>
      </c>
      <c r="Q92" s="19">
        <v>1</v>
      </c>
      <c r="R92" s="31" t="s">
        <v>122</v>
      </c>
      <c r="S92" s="20" t="s">
        <v>119</v>
      </c>
      <c r="U92" s="20" t="s">
        <v>123</v>
      </c>
      <c r="V92" s="19" t="s">
        <v>124</v>
      </c>
      <c r="W92" s="19" t="s">
        <v>125</v>
      </c>
      <c r="X92" s="19" t="s">
        <v>126</v>
      </c>
      <c r="Y92" s="19">
        <v>10041</v>
      </c>
      <c r="Z92" s="19" t="s">
        <v>127</v>
      </c>
      <c r="AA92" s="19" t="s">
        <v>128</v>
      </c>
      <c r="AB92" s="19" t="s">
        <v>129</v>
      </c>
      <c r="AF92" s="19">
        <v>100</v>
      </c>
      <c r="AI92" s="36">
        <v>45957</v>
      </c>
      <c r="AJ92" s="47" t="s">
        <v>130</v>
      </c>
    </row>
    <row r="93" spans="1:36" ht="12.75">
      <c r="A93" s="19"/>
      <c r="B93" s="20"/>
      <c r="C93" s="20"/>
      <c r="D93" s="20"/>
      <c r="E93" s="20" t="s">
        <v>176</v>
      </c>
      <c r="F93" s="20" t="s">
        <v>138</v>
      </c>
      <c r="G93" s="22" t="s">
        <v>139</v>
      </c>
      <c r="H93" s="21">
        <v>45979</v>
      </c>
      <c r="I93" s="22"/>
      <c r="J93" s="23">
        <v>44445</v>
      </c>
      <c r="K93" s="24"/>
      <c r="L93" s="23"/>
      <c r="M93" s="23"/>
      <c r="O93" s="20" t="s">
        <v>120</v>
      </c>
      <c r="P93" s="20" t="s">
        <v>121</v>
      </c>
      <c r="Q93" s="19">
        <v>1</v>
      </c>
      <c r="R93" s="31" t="s">
        <v>122</v>
      </c>
      <c r="S93" s="20" t="s">
        <v>119</v>
      </c>
      <c r="U93" s="20" t="s">
        <v>123</v>
      </c>
      <c r="V93" s="19" t="s">
        <v>124</v>
      </c>
      <c r="W93" s="19" t="s">
        <v>125</v>
      </c>
      <c r="X93" s="19" t="s">
        <v>126</v>
      </c>
      <c r="Y93" s="19">
        <v>10041</v>
      </c>
      <c r="Z93" s="19" t="s">
        <v>127</v>
      </c>
      <c r="AA93" s="19" t="s">
        <v>128</v>
      </c>
      <c r="AB93" s="19" t="s">
        <v>129</v>
      </c>
      <c r="AF93" s="19">
        <v>100</v>
      </c>
      <c r="AI93" s="36">
        <v>45957</v>
      </c>
      <c r="AJ93" s="47" t="s">
        <v>130</v>
      </c>
    </row>
    <row r="94" spans="1:36" ht="12.75">
      <c r="A94" s="19"/>
      <c r="B94" s="20"/>
      <c r="C94" s="20"/>
      <c r="D94" s="20"/>
      <c r="E94" s="20" t="s">
        <v>176</v>
      </c>
      <c r="F94" s="20" t="s">
        <v>138</v>
      </c>
      <c r="G94" s="22" t="s">
        <v>139</v>
      </c>
      <c r="H94" s="21">
        <v>45979</v>
      </c>
      <c r="I94" s="22"/>
      <c r="J94" s="23">
        <v>37659</v>
      </c>
      <c r="K94" s="24"/>
      <c r="L94" s="23"/>
      <c r="M94" s="23"/>
      <c r="O94" s="20" t="s">
        <v>120</v>
      </c>
      <c r="P94" s="20" t="s">
        <v>121</v>
      </c>
      <c r="Q94" s="19">
        <v>1</v>
      </c>
      <c r="R94" s="31" t="s">
        <v>122</v>
      </c>
      <c r="S94" s="20" t="s">
        <v>119</v>
      </c>
      <c r="U94" s="20" t="s">
        <v>123</v>
      </c>
      <c r="V94" s="19" t="s">
        <v>124</v>
      </c>
      <c r="W94" s="19" t="s">
        <v>125</v>
      </c>
      <c r="X94" s="19" t="s">
        <v>126</v>
      </c>
      <c r="Y94" s="19">
        <v>10041</v>
      </c>
      <c r="Z94" s="19" t="s">
        <v>127</v>
      </c>
      <c r="AA94" s="19" t="s">
        <v>128</v>
      </c>
      <c r="AB94" s="19" t="s">
        <v>129</v>
      </c>
      <c r="AF94" s="19">
        <v>100</v>
      </c>
      <c r="AI94" s="36">
        <v>45957</v>
      </c>
      <c r="AJ94" s="47" t="s">
        <v>130</v>
      </c>
    </row>
    <row r="95" spans="1:36" ht="12.75">
      <c r="A95" s="19"/>
      <c r="B95" s="20"/>
      <c r="C95" s="20"/>
      <c r="D95" s="20"/>
      <c r="E95" s="20" t="s">
        <v>176</v>
      </c>
      <c r="F95" s="20" t="s">
        <v>138</v>
      </c>
      <c r="G95" s="22" t="s">
        <v>139</v>
      </c>
      <c r="H95" s="21">
        <v>45979</v>
      </c>
      <c r="I95" s="22"/>
      <c r="J95" s="23">
        <v>500</v>
      </c>
      <c r="K95" s="24"/>
      <c r="L95" s="23"/>
      <c r="M95" s="23"/>
      <c r="O95" s="20" t="s">
        <v>120</v>
      </c>
      <c r="P95" s="20" t="s">
        <v>121</v>
      </c>
      <c r="Q95" s="19">
        <v>1</v>
      </c>
      <c r="R95" s="31" t="s">
        <v>122</v>
      </c>
      <c r="S95" s="20" t="s">
        <v>119</v>
      </c>
      <c r="U95" s="20" t="s">
        <v>123</v>
      </c>
      <c r="V95" s="19" t="s">
        <v>124</v>
      </c>
      <c r="W95" s="19" t="s">
        <v>125</v>
      </c>
      <c r="X95" s="19" t="s">
        <v>126</v>
      </c>
      <c r="Y95" s="19">
        <v>10041</v>
      </c>
      <c r="Z95" s="19" t="s">
        <v>127</v>
      </c>
      <c r="AA95" s="19" t="s">
        <v>128</v>
      </c>
      <c r="AB95" s="19" t="s">
        <v>129</v>
      </c>
      <c r="AF95" s="19">
        <v>100</v>
      </c>
      <c r="AI95" s="36">
        <v>45957</v>
      </c>
      <c r="AJ95" s="47" t="s">
        <v>130</v>
      </c>
    </row>
    <row r="96" spans="1:36" ht="12.75">
      <c r="A96" s="19"/>
      <c r="B96" s="20"/>
      <c r="C96" s="20"/>
      <c r="D96" s="20"/>
      <c r="E96" s="20" t="s">
        <v>176</v>
      </c>
      <c r="F96" s="20" t="s">
        <v>138</v>
      </c>
      <c r="G96" s="22" t="s">
        <v>139</v>
      </c>
      <c r="H96" s="21">
        <v>45979</v>
      </c>
      <c r="I96" s="22"/>
      <c r="J96" s="23">
        <v>140000</v>
      </c>
      <c r="K96" s="24"/>
      <c r="L96" s="23"/>
      <c r="M96" s="23"/>
      <c r="O96" s="20" t="s">
        <v>120</v>
      </c>
      <c r="P96" s="20" t="s">
        <v>121</v>
      </c>
      <c r="Q96" s="19">
        <v>1</v>
      </c>
      <c r="R96" s="31" t="s">
        <v>122</v>
      </c>
      <c r="S96" s="20" t="s">
        <v>119</v>
      </c>
      <c r="U96" s="20" t="s">
        <v>123</v>
      </c>
      <c r="V96" s="19" t="s">
        <v>124</v>
      </c>
      <c r="W96" s="19" t="s">
        <v>125</v>
      </c>
      <c r="X96" s="19" t="s">
        <v>126</v>
      </c>
      <c r="Y96" s="19">
        <v>10041</v>
      </c>
      <c r="Z96" s="19" t="s">
        <v>127</v>
      </c>
      <c r="AA96" s="19" t="s">
        <v>128</v>
      </c>
      <c r="AB96" s="19" t="s">
        <v>129</v>
      </c>
      <c r="AF96" s="19">
        <v>100</v>
      </c>
      <c r="AI96" s="36">
        <v>45957</v>
      </c>
      <c r="AJ96" s="47" t="s">
        <v>130</v>
      </c>
    </row>
    <row r="97" spans="1:36" ht="12.75">
      <c r="A97" s="19"/>
      <c r="B97" s="20"/>
      <c r="C97" s="20"/>
      <c r="D97" s="20"/>
      <c r="E97" s="20" t="s">
        <v>176</v>
      </c>
      <c r="F97" s="20" t="s">
        <v>138</v>
      </c>
      <c r="G97" s="22" t="s">
        <v>139</v>
      </c>
      <c r="H97" s="21">
        <v>45979</v>
      </c>
      <c r="I97" s="22"/>
      <c r="J97" s="23">
        <v>170976</v>
      </c>
      <c r="K97" s="24"/>
      <c r="L97" s="23"/>
      <c r="M97" s="23"/>
      <c r="O97" s="20" t="s">
        <v>120</v>
      </c>
      <c r="P97" s="20" t="s">
        <v>121</v>
      </c>
      <c r="Q97" s="19">
        <v>1</v>
      </c>
      <c r="R97" s="31" t="s">
        <v>122</v>
      </c>
      <c r="S97" s="20" t="s">
        <v>119</v>
      </c>
      <c r="U97" s="20" t="s">
        <v>123</v>
      </c>
      <c r="V97" s="19" t="s">
        <v>124</v>
      </c>
      <c r="W97" s="19" t="s">
        <v>125</v>
      </c>
      <c r="X97" s="19" t="s">
        <v>126</v>
      </c>
      <c r="Y97" s="19">
        <v>10041</v>
      </c>
      <c r="Z97" s="19" t="s">
        <v>127</v>
      </c>
      <c r="AA97" s="19" t="s">
        <v>128</v>
      </c>
      <c r="AB97" s="19" t="s">
        <v>129</v>
      </c>
      <c r="AF97" s="19">
        <v>100</v>
      </c>
      <c r="AI97" s="36">
        <v>45957</v>
      </c>
      <c r="AJ97" s="47" t="s">
        <v>130</v>
      </c>
    </row>
    <row r="98" spans="1:36" ht="12.75">
      <c r="A98" s="19"/>
      <c r="B98" s="20"/>
      <c r="C98" s="20"/>
      <c r="D98" s="20"/>
      <c r="E98" s="20" t="s">
        <v>176</v>
      </c>
      <c r="F98" s="20" t="s">
        <v>138</v>
      </c>
      <c r="G98" s="22" t="s">
        <v>139</v>
      </c>
      <c r="H98" s="21">
        <v>45979</v>
      </c>
      <c r="I98" s="22"/>
      <c r="J98" s="23">
        <v>56293</v>
      </c>
      <c r="K98" s="24"/>
      <c r="L98" s="23"/>
      <c r="M98" s="23"/>
      <c r="O98" s="20" t="s">
        <v>120</v>
      </c>
      <c r="P98" s="20" t="s">
        <v>121</v>
      </c>
      <c r="Q98" s="19">
        <v>1</v>
      </c>
      <c r="R98" s="31" t="s">
        <v>122</v>
      </c>
      <c r="S98" s="20" t="s">
        <v>119</v>
      </c>
      <c r="U98" s="20" t="s">
        <v>123</v>
      </c>
      <c r="V98" s="19" t="s">
        <v>124</v>
      </c>
      <c r="W98" s="19" t="s">
        <v>125</v>
      </c>
      <c r="X98" s="19" t="s">
        <v>126</v>
      </c>
      <c r="Y98" s="19">
        <v>10041</v>
      </c>
      <c r="Z98" s="19" t="s">
        <v>127</v>
      </c>
      <c r="AA98" s="19" t="s">
        <v>128</v>
      </c>
      <c r="AB98" s="19" t="s">
        <v>129</v>
      </c>
      <c r="AF98" s="19">
        <v>100</v>
      </c>
      <c r="AI98" s="36">
        <v>45957</v>
      </c>
      <c r="AJ98" s="47" t="s">
        <v>130</v>
      </c>
    </row>
    <row r="99" spans="1:36" ht="12.75">
      <c r="A99" s="19"/>
      <c r="B99" s="20"/>
      <c r="C99" s="20"/>
      <c r="D99" s="20"/>
      <c r="E99" s="20" t="s">
        <v>176</v>
      </c>
      <c r="F99" s="20" t="s">
        <v>138</v>
      </c>
      <c r="G99" s="22" t="s">
        <v>139</v>
      </c>
      <c r="H99" s="21">
        <v>45979</v>
      </c>
      <c r="I99" s="22"/>
      <c r="J99" s="23">
        <v>366228</v>
      </c>
      <c r="K99" s="24"/>
      <c r="L99" s="23"/>
      <c r="M99" s="23"/>
      <c r="O99" s="20" t="s">
        <v>120</v>
      </c>
      <c r="P99" s="20" t="s">
        <v>121</v>
      </c>
      <c r="Q99" s="19">
        <v>1</v>
      </c>
      <c r="R99" s="31" t="s">
        <v>122</v>
      </c>
      <c r="S99" s="20" t="s">
        <v>119</v>
      </c>
      <c r="U99" s="20" t="s">
        <v>123</v>
      </c>
      <c r="V99" s="19" t="s">
        <v>124</v>
      </c>
      <c r="W99" s="19" t="s">
        <v>125</v>
      </c>
      <c r="X99" s="19" t="s">
        <v>126</v>
      </c>
      <c r="Y99" s="19">
        <v>10041</v>
      </c>
      <c r="Z99" s="19" t="s">
        <v>127</v>
      </c>
      <c r="AA99" s="19" t="s">
        <v>128</v>
      </c>
      <c r="AB99" s="19" t="s">
        <v>129</v>
      </c>
      <c r="AF99" s="19">
        <v>100</v>
      </c>
      <c r="AI99" s="36">
        <v>45957</v>
      </c>
      <c r="AJ99" s="47" t="s">
        <v>130</v>
      </c>
    </row>
    <row r="100" spans="1:36" ht="12.75">
      <c r="A100" s="19"/>
      <c r="B100" s="20"/>
      <c r="C100" s="20"/>
      <c r="D100" s="20"/>
      <c r="E100" s="20" t="s">
        <v>176</v>
      </c>
      <c r="F100" s="20" t="s">
        <v>138</v>
      </c>
      <c r="G100" s="22" t="s">
        <v>139</v>
      </c>
      <c r="H100" s="21">
        <v>45979</v>
      </c>
      <c r="I100" s="22"/>
      <c r="J100" s="23">
        <v>37500</v>
      </c>
      <c r="K100" s="24"/>
      <c r="L100" s="23"/>
      <c r="M100" s="23"/>
      <c r="O100" s="20" t="s">
        <v>120</v>
      </c>
      <c r="P100" s="20" t="s">
        <v>121</v>
      </c>
      <c r="Q100" s="19">
        <v>1</v>
      </c>
      <c r="R100" s="31" t="s">
        <v>122</v>
      </c>
      <c r="S100" s="20" t="s">
        <v>119</v>
      </c>
      <c r="U100" s="20" t="s">
        <v>123</v>
      </c>
      <c r="V100" s="19" t="s">
        <v>124</v>
      </c>
      <c r="W100" s="19" t="s">
        <v>125</v>
      </c>
      <c r="X100" s="19" t="s">
        <v>126</v>
      </c>
      <c r="Y100" s="19">
        <v>10041</v>
      </c>
      <c r="Z100" s="19" t="s">
        <v>127</v>
      </c>
      <c r="AA100" s="19" t="s">
        <v>128</v>
      </c>
      <c r="AB100" s="19" t="s">
        <v>129</v>
      </c>
      <c r="AF100" s="19">
        <v>100</v>
      </c>
      <c r="AI100" s="36">
        <v>45957</v>
      </c>
      <c r="AJ100" s="47" t="s">
        <v>130</v>
      </c>
    </row>
    <row r="101" spans="1:36" ht="12.75">
      <c r="A101" s="19"/>
      <c r="B101" s="20"/>
      <c r="C101" s="20"/>
      <c r="D101" s="20"/>
      <c r="E101" s="20" t="s">
        <v>176</v>
      </c>
      <c r="F101" s="20" t="s">
        <v>138</v>
      </c>
      <c r="G101" s="22" t="s">
        <v>139</v>
      </c>
      <c r="H101" s="21">
        <v>45979</v>
      </c>
      <c r="I101" s="22"/>
      <c r="J101" s="23">
        <v>1252359</v>
      </c>
      <c r="K101" s="24"/>
      <c r="L101" s="23"/>
      <c r="M101" s="23"/>
      <c r="O101" s="20" t="s">
        <v>120</v>
      </c>
      <c r="P101" s="20" t="s">
        <v>121</v>
      </c>
      <c r="Q101" s="19">
        <v>1</v>
      </c>
      <c r="R101" s="31" t="s">
        <v>122</v>
      </c>
      <c r="S101" s="20" t="s">
        <v>119</v>
      </c>
      <c r="U101" s="20" t="s">
        <v>123</v>
      </c>
      <c r="V101" s="19" t="s">
        <v>124</v>
      </c>
      <c r="W101" s="19" t="s">
        <v>125</v>
      </c>
      <c r="X101" s="19" t="s">
        <v>126</v>
      </c>
      <c r="Y101" s="19">
        <v>10041</v>
      </c>
      <c r="Z101" s="19" t="s">
        <v>127</v>
      </c>
      <c r="AA101" s="19" t="s">
        <v>128</v>
      </c>
      <c r="AB101" s="19" t="s">
        <v>129</v>
      </c>
      <c r="AF101" s="19">
        <v>100</v>
      </c>
      <c r="AI101" s="36">
        <v>45957</v>
      </c>
      <c r="AJ101" s="47" t="s">
        <v>130</v>
      </c>
    </row>
    <row r="102" spans="1:36" ht="12.75">
      <c r="A102" s="19"/>
      <c r="B102" s="20"/>
      <c r="C102" s="20"/>
      <c r="D102" s="20"/>
      <c r="E102" s="20" t="s">
        <v>176</v>
      </c>
      <c r="F102" s="20" t="s">
        <v>138</v>
      </c>
      <c r="G102" s="22" t="s">
        <v>139</v>
      </c>
      <c r="H102" s="21">
        <v>45979</v>
      </c>
      <c r="I102" s="22"/>
      <c r="J102" s="23">
        <v>406780</v>
      </c>
      <c r="K102" s="24"/>
      <c r="L102" s="23"/>
      <c r="M102" s="23"/>
      <c r="O102" s="20" t="s">
        <v>120</v>
      </c>
      <c r="P102" s="20" t="s">
        <v>121</v>
      </c>
      <c r="Q102" s="19">
        <v>1</v>
      </c>
      <c r="R102" s="31" t="s">
        <v>122</v>
      </c>
      <c r="S102" s="20" t="s">
        <v>119</v>
      </c>
      <c r="U102" s="20" t="s">
        <v>123</v>
      </c>
      <c r="V102" s="19" t="s">
        <v>124</v>
      </c>
      <c r="W102" s="19" t="s">
        <v>125</v>
      </c>
      <c r="X102" s="19" t="s">
        <v>126</v>
      </c>
      <c r="Y102" s="19">
        <v>10041</v>
      </c>
      <c r="Z102" s="19" t="s">
        <v>127</v>
      </c>
      <c r="AA102" s="19" t="s">
        <v>128</v>
      </c>
      <c r="AB102" s="19" t="s">
        <v>129</v>
      </c>
      <c r="AF102" s="19">
        <v>100</v>
      </c>
      <c r="AI102" s="36">
        <v>45957</v>
      </c>
      <c r="AJ102" s="47" t="s">
        <v>130</v>
      </c>
    </row>
    <row r="103" spans="1:36" ht="12.75">
      <c r="A103" s="19"/>
      <c r="B103" s="20"/>
      <c r="C103" s="20"/>
      <c r="D103" s="20"/>
      <c r="E103" s="20" t="s">
        <v>176</v>
      </c>
      <c r="F103" s="20" t="s">
        <v>138</v>
      </c>
      <c r="G103" s="22" t="s">
        <v>139</v>
      </c>
      <c r="H103" s="21">
        <v>45979</v>
      </c>
      <c r="I103" s="22"/>
      <c r="J103" s="23">
        <v>108217</v>
      </c>
      <c r="K103" s="24"/>
      <c r="L103" s="23"/>
      <c r="M103" s="23"/>
      <c r="O103" s="20" t="s">
        <v>120</v>
      </c>
      <c r="P103" s="20" t="s">
        <v>121</v>
      </c>
      <c r="Q103" s="19">
        <v>1</v>
      </c>
      <c r="R103" s="31" t="s">
        <v>122</v>
      </c>
      <c r="S103" s="20" t="s">
        <v>119</v>
      </c>
      <c r="U103" s="20" t="s">
        <v>123</v>
      </c>
      <c r="V103" s="19" t="s">
        <v>124</v>
      </c>
      <c r="W103" s="19" t="s">
        <v>125</v>
      </c>
      <c r="X103" s="19" t="s">
        <v>126</v>
      </c>
      <c r="Y103" s="19">
        <v>10041</v>
      </c>
      <c r="Z103" s="19" t="s">
        <v>127</v>
      </c>
      <c r="AA103" s="19" t="s">
        <v>128</v>
      </c>
      <c r="AB103" s="19" t="s">
        <v>129</v>
      </c>
      <c r="AF103" s="19">
        <v>100</v>
      </c>
      <c r="AI103" s="36">
        <v>45957</v>
      </c>
      <c r="AJ103" s="47" t="s">
        <v>130</v>
      </c>
    </row>
    <row r="104" spans="1:36" ht="12.75">
      <c r="A104" s="19"/>
      <c r="B104" s="20"/>
      <c r="C104" s="20"/>
      <c r="D104" s="20"/>
      <c r="E104" s="20" t="s">
        <v>176</v>
      </c>
      <c r="F104" s="20" t="s">
        <v>138</v>
      </c>
      <c r="G104" s="22" t="s">
        <v>139</v>
      </c>
      <c r="H104" s="21">
        <v>45979</v>
      </c>
      <c r="I104" s="22"/>
      <c r="J104" s="23">
        <v>271875</v>
      </c>
      <c r="K104" s="24"/>
      <c r="L104" s="23"/>
      <c r="M104" s="23"/>
      <c r="O104" s="20" t="s">
        <v>120</v>
      </c>
      <c r="P104" s="20" t="s">
        <v>121</v>
      </c>
      <c r="Q104" s="19">
        <v>1</v>
      </c>
      <c r="R104" s="31" t="s">
        <v>122</v>
      </c>
      <c r="S104" s="20" t="s">
        <v>119</v>
      </c>
      <c r="U104" s="20" t="s">
        <v>123</v>
      </c>
      <c r="V104" s="19" t="s">
        <v>124</v>
      </c>
      <c r="W104" s="19" t="s">
        <v>125</v>
      </c>
      <c r="X104" s="19" t="s">
        <v>126</v>
      </c>
      <c r="Y104" s="19">
        <v>10041</v>
      </c>
      <c r="Z104" s="19" t="s">
        <v>127</v>
      </c>
      <c r="AA104" s="19" t="s">
        <v>128</v>
      </c>
      <c r="AB104" s="19" t="s">
        <v>129</v>
      </c>
      <c r="AF104" s="19">
        <v>100</v>
      </c>
      <c r="AI104" s="36">
        <v>45957</v>
      </c>
      <c r="AJ104" s="47" t="s">
        <v>130</v>
      </c>
    </row>
    <row r="105" spans="1:36" ht="12.75">
      <c r="A105" s="19"/>
      <c r="B105" s="20"/>
      <c r="C105" s="20"/>
      <c r="D105" s="20"/>
      <c r="E105" s="20" t="s">
        <v>176</v>
      </c>
      <c r="F105" s="20" t="s">
        <v>138</v>
      </c>
      <c r="G105" s="22" t="s">
        <v>139</v>
      </c>
      <c r="H105" s="21">
        <v>45979</v>
      </c>
      <c r="I105" s="22"/>
      <c r="J105" s="23">
        <v>195946</v>
      </c>
      <c r="K105" s="24" t="s">
        <v>119</v>
      </c>
      <c r="L105" s="23"/>
      <c r="M105" s="23"/>
      <c r="O105" s="20" t="s">
        <v>120</v>
      </c>
      <c r="P105" s="20" t="s">
        <v>121</v>
      </c>
      <c r="Q105" s="19">
        <v>1</v>
      </c>
      <c r="R105" s="31" t="s">
        <v>122</v>
      </c>
      <c r="S105" s="20" t="s">
        <v>119</v>
      </c>
      <c r="U105" s="20" t="s">
        <v>123</v>
      </c>
      <c r="V105" s="19" t="s">
        <v>124</v>
      </c>
      <c r="W105" s="19" t="s">
        <v>125</v>
      </c>
      <c r="X105" s="19" t="s">
        <v>126</v>
      </c>
      <c r="Y105" s="19">
        <v>10041</v>
      </c>
      <c r="Z105" s="19" t="s">
        <v>127</v>
      </c>
      <c r="AA105" s="19" t="s">
        <v>128</v>
      </c>
      <c r="AB105" s="19" t="s">
        <v>129</v>
      </c>
      <c r="AF105" s="19">
        <v>100</v>
      </c>
      <c r="AI105" s="36">
        <v>45957</v>
      </c>
      <c r="AJ105" s="47" t="s">
        <v>130</v>
      </c>
    </row>
    <row r="106" spans="1:36" ht="12.75">
      <c r="A106" s="19"/>
      <c r="B106" s="20"/>
      <c r="C106" s="20"/>
      <c r="D106" s="20"/>
      <c r="E106" s="20" t="s">
        <v>176</v>
      </c>
      <c r="F106" s="20" t="s">
        <v>138</v>
      </c>
      <c r="G106" s="22" t="s">
        <v>139</v>
      </c>
      <c r="H106" s="21">
        <v>45980</v>
      </c>
      <c r="I106" s="22"/>
      <c r="J106" s="23">
        <v>87341</v>
      </c>
      <c r="K106" s="24"/>
      <c r="L106" s="23"/>
      <c r="M106" s="23"/>
      <c r="O106" s="20" t="s">
        <v>120</v>
      </c>
      <c r="P106" s="20" t="s">
        <v>121</v>
      </c>
      <c r="Q106" s="19">
        <v>1</v>
      </c>
      <c r="R106" s="31" t="s">
        <v>122</v>
      </c>
      <c r="S106" s="20" t="s">
        <v>119</v>
      </c>
      <c r="U106" s="20" t="s">
        <v>123</v>
      </c>
      <c r="V106" s="19" t="s">
        <v>124</v>
      </c>
      <c r="W106" s="19" t="s">
        <v>125</v>
      </c>
      <c r="X106" s="19" t="s">
        <v>126</v>
      </c>
      <c r="Y106" s="19">
        <v>10041</v>
      </c>
      <c r="Z106" s="19" t="s">
        <v>127</v>
      </c>
      <c r="AA106" s="19" t="s">
        <v>128</v>
      </c>
      <c r="AB106" s="19" t="s">
        <v>129</v>
      </c>
      <c r="AF106" s="19">
        <v>100</v>
      </c>
      <c r="AI106" s="36">
        <v>45957</v>
      </c>
      <c r="AJ106" s="47" t="s">
        <v>130</v>
      </c>
    </row>
    <row r="107" spans="1:36" ht="12.75">
      <c r="A107" s="19"/>
      <c r="B107" s="20"/>
      <c r="C107" s="20"/>
      <c r="D107" s="20"/>
      <c r="E107" s="20" t="s">
        <v>176</v>
      </c>
      <c r="F107" s="20" t="s">
        <v>138</v>
      </c>
      <c r="G107" s="22" t="s">
        <v>139</v>
      </c>
      <c r="H107" s="21">
        <v>45980</v>
      </c>
      <c r="I107" s="22"/>
      <c r="J107" s="23">
        <v>576839</v>
      </c>
      <c r="K107" s="24"/>
      <c r="L107" s="23"/>
      <c r="M107" s="23"/>
      <c r="O107" s="20" t="s">
        <v>120</v>
      </c>
      <c r="P107" s="20" t="s">
        <v>121</v>
      </c>
      <c r="Q107" s="19">
        <v>1</v>
      </c>
      <c r="R107" s="31" t="s">
        <v>122</v>
      </c>
      <c r="S107" s="20" t="s">
        <v>119</v>
      </c>
      <c r="U107" s="20" t="s">
        <v>123</v>
      </c>
      <c r="V107" s="19" t="s">
        <v>124</v>
      </c>
      <c r="W107" s="19" t="s">
        <v>125</v>
      </c>
      <c r="X107" s="19" t="s">
        <v>126</v>
      </c>
      <c r="Y107" s="19">
        <v>10041</v>
      </c>
      <c r="Z107" s="19" t="s">
        <v>127</v>
      </c>
      <c r="AA107" s="19" t="s">
        <v>128</v>
      </c>
      <c r="AB107" s="19" t="s">
        <v>129</v>
      </c>
      <c r="AF107" s="19">
        <v>100</v>
      </c>
      <c r="AI107" s="36">
        <v>45957</v>
      </c>
      <c r="AJ107" s="47" t="s">
        <v>130</v>
      </c>
    </row>
    <row r="108" spans="1:36" ht="12.75">
      <c r="A108" s="19"/>
      <c r="B108" s="20"/>
      <c r="C108" s="20"/>
      <c r="D108" s="20"/>
      <c r="E108" s="20" t="s">
        <v>176</v>
      </c>
      <c r="F108" s="20" t="s">
        <v>138</v>
      </c>
      <c r="G108" s="22" t="s">
        <v>139</v>
      </c>
      <c r="H108" s="21">
        <v>45980</v>
      </c>
      <c r="I108" s="22"/>
      <c r="J108" s="23">
        <v>171123</v>
      </c>
      <c r="K108" s="24" t="s">
        <v>119</v>
      </c>
      <c r="L108" s="23"/>
      <c r="M108" s="23"/>
      <c r="O108" s="20" t="s">
        <v>120</v>
      </c>
      <c r="P108" s="20" t="s">
        <v>121</v>
      </c>
      <c r="Q108" s="19">
        <v>1</v>
      </c>
      <c r="R108" s="31" t="s">
        <v>122</v>
      </c>
      <c r="S108" s="20" t="s">
        <v>119</v>
      </c>
      <c r="U108" s="20" t="s">
        <v>123</v>
      </c>
      <c r="V108" s="19" t="s">
        <v>124</v>
      </c>
      <c r="W108" s="19" t="s">
        <v>125</v>
      </c>
      <c r="X108" s="19" t="s">
        <v>126</v>
      </c>
      <c r="Y108" s="19">
        <v>10041</v>
      </c>
      <c r="Z108" s="19" t="s">
        <v>127</v>
      </c>
      <c r="AA108" s="19" t="s">
        <v>128</v>
      </c>
      <c r="AB108" s="19" t="s">
        <v>129</v>
      </c>
      <c r="AF108" s="19">
        <v>100</v>
      </c>
      <c r="AI108" s="36">
        <v>45957</v>
      </c>
      <c r="AJ108" s="47" t="s">
        <v>130</v>
      </c>
    </row>
    <row r="109" spans="1:36" ht="12.75">
      <c r="A109" s="19"/>
      <c r="B109" s="20"/>
      <c r="C109" s="20"/>
      <c r="D109" s="20"/>
      <c r="E109" s="20" t="s">
        <v>176</v>
      </c>
      <c r="F109" s="20" t="s">
        <v>138</v>
      </c>
      <c r="G109" s="22" t="s">
        <v>139</v>
      </c>
      <c r="H109" s="21">
        <v>45981</v>
      </c>
      <c r="I109" s="22"/>
      <c r="J109" s="23">
        <v>25000</v>
      </c>
      <c r="K109" s="24"/>
      <c r="L109" s="23"/>
      <c r="M109" s="23"/>
      <c r="O109" s="20" t="s">
        <v>120</v>
      </c>
      <c r="P109" s="20" t="s">
        <v>121</v>
      </c>
      <c r="Q109" s="19">
        <v>1</v>
      </c>
      <c r="R109" s="31" t="s">
        <v>122</v>
      </c>
      <c r="S109" s="20" t="s">
        <v>119</v>
      </c>
      <c r="U109" s="20" t="s">
        <v>123</v>
      </c>
      <c r="V109" s="19" t="s">
        <v>124</v>
      </c>
      <c r="W109" s="19" t="s">
        <v>125</v>
      </c>
      <c r="X109" s="19" t="s">
        <v>126</v>
      </c>
      <c r="Y109" s="19">
        <v>10041</v>
      </c>
      <c r="Z109" s="19" t="s">
        <v>127</v>
      </c>
      <c r="AA109" s="19" t="s">
        <v>128</v>
      </c>
      <c r="AB109" s="19" t="s">
        <v>129</v>
      </c>
      <c r="AF109" s="19">
        <v>100</v>
      </c>
      <c r="AI109" s="36">
        <v>45957</v>
      </c>
      <c r="AJ109" s="47" t="s">
        <v>130</v>
      </c>
    </row>
    <row r="110" spans="1:36" ht="12.75">
      <c r="A110" s="19"/>
      <c r="B110" s="20"/>
      <c r="C110" s="20"/>
      <c r="D110" s="20"/>
      <c r="E110" s="20" t="s">
        <v>176</v>
      </c>
      <c r="F110" s="20" t="s">
        <v>138</v>
      </c>
      <c r="G110" s="22" t="s">
        <v>139</v>
      </c>
      <c r="H110" s="21">
        <v>45981</v>
      </c>
      <c r="I110" s="22"/>
      <c r="J110" s="23">
        <v>275300</v>
      </c>
      <c r="K110" s="24"/>
      <c r="L110" s="23"/>
      <c r="M110" s="23"/>
      <c r="O110" s="20" t="s">
        <v>120</v>
      </c>
      <c r="P110" s="20" t="s">
        <v>121</v>
      </c>
      <c r="Q110" s="19">
        <v>1</v>
      </c>
      <c r="R110" s="31" t="s">
        <v>122</v>
      </c>
      <c r="S110" s="20" t="s">
        <v>119</v>
      </c>
      <c r="U110" s="20" t="s">
        <v>123</v>
      </c>
      <c r="V110" s="19" t="s">
        <v>124</v>
      </c>
      <c r="W110" s="19" t="s">
        <v>125</v>
      </c>
      <c r="X110" s="19" t="s">
        <v>126</v>
      </c>
      <c r="Y110" s="19">
        <v>10041</v>
      </c>
      <c r="Z110" s="19" t="s">
        <v>127</v>
      </c>
      <c r="AA110" s="19" t="s">
        <v>128</v>
      </c>
      <c r="AB110" s="19" t="s">
        <v>129</v>
      </c>
      <c r="AF110" s="19">
        <v>100</v>
      </c>
      <c r="AI110" s="36">
        <v>45957</v>
      </c>
      <c r="AJ110" s="47" t="s">
        <v>130</v>
      </c>
    </row>
    <row r="111" spans="1:36" ht="12.75">
      <c r="A111" s="19"/>
      <c r="B111" s="20"/>
      <c r="C111" s="20"/>
      <c r="D111" s="20"/>
      <c r="E111" s="20" t="s">
        <v>176</v>
      </c>
      <c r="F111" s="20" t="s">
        <v>138</v>
      </c>
      <c r="G111" s="22" t="s">
        <v>139</v>
      </c>
      <c r="H111" s="21">
        <v>45981</v>
      </c>
      <c r="I111" s="22"/>
      <c r="J111" s="23">
        <v>406626</v>
      </c>
      <c r="K111" s="24"/>
      <c r="L111" s="23"/>
      <c r="M111" s="23"/>
      <c r="O111" s="20" t="s">
        <v>120</v>
      </c>
      <c r="P111" s="20" t="s">
        <v>121</v>
      </c>
      <c r="Q111" s="19">
        <v>1</v>
      </c>
      <c r="R111" s="31" t="s">
        <v>122</v>
      </c>
      <c r="S111" s="20" t="s">
        <v>119</v>
      </c>
      <c r="U111" s="20" t="s">
        <v>123</v>
      </c>
      <c r="V111" s="19" t="s">
        <v>124</v>
      </c>
      <c r="W111" s="19" t="s">
        <v>125</v>
      </c>
      <c r="X111" s="19" t="s">
        <v>126</v>
      </c>
      <c r="Y111" s="19">
        <v>10041</v>
      </c>
      <c r="Z111" s="19" t="s">
        <v>127</v>
      </c>
      <c r="AA111" s="19" t="s">
        <v>128</v>
      </c>
      <c r="AB111" s="19" t="s">
        <v>129</v>
      </c>
      <c r="AF111" s="19">
        <v>100</v>
      </c>
      <c r="AI111" s="36">
        <v>45957</v>
      </c>
      <c r="AJ111" s="47" t="s">
        <v>130</v>
      </c>
    </row>
    <row r="112" spans="1:36" ht="12.75">
      <c r="A112" s="19"/>
      <c r="B112" s="20"/>
      <c r="C112" s="20"/>
      <c r="D112" s="20"/>
      <c r="E112" s="20" t="s">
        <v>176</v>
      </c>
      <c r="F112" s="20" t="s">
        <v>138</v>
      </c>
      <c r="G112" s="22" t="s">
        <v>139</v>
      </c>
      <c r="H112" s="21">
        <v>45981</v>
      </c>
      <c r="I112" s="22"/>
      <c r="J112" s="23">
        <v>20846</v>
      </c>
      <c r="K112" s="24"/>
      <c r="L112" s="23"/>
      <c r="M112" s="23"/>
      <c r="O112" s="20" t="s">
        <v>120</v>
      </c>
      <c r="P112" s="20" t="s">
        <v>121</v>
      </c>
      <c r="Q112" s="19">
        <v>1</v>
      </c>
      <c r="R112" s="31" t="s">
        <v>122</v>
      </c>
      <c r="S112" s="20" t="s">
        <v>119</v>
      </c>
      <c r="U112" s="20" t="s">
        <v>123</v>
      </c>
      <c r="V112" s="19" t="s">
        <v>124</v>
      </c>
      <c r="W112" s="19" t="s">
        <v>125</v>
      </c>
      <c r="X112" s="19" t="s">
        <v>126</v>
      </c>
      <c r="Y112" s="19">
        <v>10041</v>
      </c>
      <c r="Z112" s="19" t="s">
        <v>127</v>
      </c>
      <c r="AA112" s="19" t="s">
        <v>128</v>
      </c>
      <c r="AB112" s="19" t="s">
        <v>129</v>
      </c>
      <c r="AF112" s="19">
        <v>100</v>
      </c>
      <c r="AI112" s="36">
        <v>45957</v>
      </c>
      <c r="AJ112" s="47" t="s">
        <v>130</v>
      </c>
    </row>
    <row r="113" spans="1:36" ht="12.75">
      <c r="A113" s="19"/>
      <c r="B113" s="20"/>
      <c r="C113" s="20"/>
      <c r="D113" s="20"/>
      <c r="E113" s="20" t="s">
        <v>176</v>
      </c>
      <c r="F113" s="20" t="s">
        <v>138</v>
      </c>
      <c r="G113" s="22" t="s">
        <v>139</v>
      </c>
      <c r="H113" s="21">
        <v>45981</v>
      </c>
      <c r="I113" s="22"/>
      <c r="J113" s="23">
        <v>5555</v>
      </c>
      <c r="K113" s="24"/>
      <c r="L113" s="23"/>
      <c r="M113" s="23"/>
      <c r="O113" s="20" t="s">
        <v>120</v>
      </c>
      <c r="P113" s="20" t="s">
        <v>121</v>
      </c>
      <c r="Q113" s="19">
        <v>1</v>
      </c>
      <c r="R113" s="31" t="s">
        <v>122</v>
      </c>
      <c r="S113" s="20" t="s">
        <v>119</v>
      </c>
      <c r="U113" s="20" t="s">
        <v>123</v>
      </c>
      <c r="V113" s="19" t="s">
        <v>124</v>
      </c>
      <c r="W113" s="19" t="s">
        <v>125</v>
      </c>
      <c r="X113" s="19" t="s">
        <v>126</v>
      </c>
      <c r="Y113" s="19">
        <v>10041</v>
      </c>
      <c r="Z113" s="19" t="s">
        <v>127</v>
      </c>
      <c r="AA113" s="19" t="s">
        <v>128</v>
      </c>
      <c r="AB113" s="19" t="s">
        <v>129</v>
      </c>
      <c r="AF113" s="19">
        <v>100</v>
      </c>
      <c r="AI113" s="36">
        <v>45957</v>
      </c>
      <c r="AJ113" s="47" t="s">
        <v>130</v>
      </c>
    </row>
    <row r="114" spans="1:36" ht="12.75">
      <c r="A114" s="19"/>
      <c r="B114" s="20"/>
      <c r="C114" s="20"/>
      <c r="D114" s="20"/>
      <c r="E114" s="20" t="s">
        <v>176</v>
      </c>
      <c r="F114" s="20" t="s">
        <v>138</v>
      </c>
      <c r="G114" s="22" t="s">
        <v>139</v>
      </c>
      <c r="H114" s="21">
        <v>45981</v>
      </c>
      <c r="I114" s="22"/>
      <c r="J114" s="23">
        <v>4154</v>
      </c>
      <c r="K114" s="24"/>
      <c r="L114" s="23"/>
      <c r="M114" s="23"/>
      <c r="O114" s="20" t="s">
        <v>120</v>
      </c>
      <c r="P114" s="20" t="s">
        <v>121</v>
      </c>
      <c r="Q114" s="19">
        <v>1</v>
      </c>
      <c r="R114" s="31" t="s">
        <v>122</v>
      </c>
      <c r="S114" s="20" t="s">
        <v>119</v>
      </c>
      <c r="U114" s="20" t="s">
        <v>123</v>
      </c>
      <c r="V114" s="19" t="s">
        <v>124</v>
      </c>
      <c r="W114" s="19" t="s">
        <v>125</v>
      </c>
      <c r="X114" s="19" t="s">
        <v>126</v>
      </c>
      <c r="Y114" s="19">
        <v>10041</v>
      </c>
      <c r="Z114" s="19" t="s">
        <v>127</v>
      </c>
      <c r="AA114" s="19" t="s">
        <v>128</v>
      </c>
      <c r="AB114" s="19" t="s">
        <v>129</v>
      </c>
      <c r="AF114" s="19">
        <v>100</v>
      </c>
      <c r="AI114" s="36">
        <v>45957</v>
      </c>
      <c r="AJ114" s="47" t="s">
        <v>130</v>
      </c>
    </row>
    <row r="115" spans="1:36" ht="12.75">
      <c r="A115" s="19"/>
      <c r="B115" s="20"/>
      <c r="C115" s="20"/>
      <c r="D115" s="20"/>
      <c r="E115" s="20" t="s">
        <v>176</v>
      </c>
      <c r="F115" s="20" t="s">
        <v>138</v>
      </c>
      <c r="G115" s="22" t="s">
        <v>139</v>
      </c>
      <c r="H115" s="21">
        <v>45981</v>
      </c>
      <c r="I115" s="22"/>
      <c r="J115" s="23">
        <v>30258</v>
      </c>
      <c r="K115" s="24"/>
      <c r="L115" s="23"/>
      <c r="M115" s="23"/>
      <c r="O115" s="20" t="s">
        <v>120</v>
      </c>
      <c r="P115" s="20" t="s">
        <v>121</v>
      </c>
      <c r="Q115" s="19">
        <v>1</v>
      </c>
      <c r="R115" s="31" t="s">
        <v>122</v>
      </c>
      <c r="S115" s="20" t="s">
        <v>119</v>
      </c>
      <c r="U115" s="20" t="s">
        <v>123</v>
      </c>
      <c r="V115" s="19" t="s">
        <v>124</v>
      </c>
      <c r="W115" s="19" t="s">
        <v>125</v>
      </c>
      <c r="X115" s="19" t="s">
        <v>126</v>
      </c>
      <c r="Y115" s="19">
        <v>10041</v>
      </c>
      <c r="Z115" s="19" t="s">
        <v>127</v>
      </c>
      <c r="AA115" s="19" t="s">
        <v>128</v>
      </c>
      <c r="AB115" s="19" t="s">
        <v>129</v>
      </c>
      <c r="AF115" s="19">
        <v>100</v>
      </c>
      <c r="AI115" s="36">
        <v>45957</v>
      </c>
      <c r="AJ115" s="47" t="s">
        <v>130</v>
      </c>
    </row>
    <row r="116" spans="1:36" ht="12.75">
      <c r="A116" s="19"/>
      <c r="B116" s="20"/>
      <c r="C116" s="20"/>
      <c r="D116" s="20"/>
      <c r="E116" s="20" t="s">
        <v>176</v>
      </c>
      <c r="F116" s="20" t="s">
        <v>138</v>
      </c>
      <c r="G116" s="22" t="s">
        <v>139</v>
      </c>
      <c r="H116" s="21">
        <v>45981</v>
      </c>
      <c r="I116" s="22"/>
      <c r="J116" s="23">
        <v>18374</v>
      </c>
      <c r="K116" s="24">
        <f>SUM(J86:J116)</f>
        <v>7882393</v>
      </c>
      <c r="L116" s="23"/>
      <c r="M116" s="23"/>
      <c r="O116" s="20" t="s">
        <v>120</v>
      </c>
      <c r="P116" s="20" t="s">
        <v>121</v>
      </c>
      <c r="Q116" s="19">
        <v>1</v>
      </c>
      <c r="R116" s="31" t="s">
        <v>122</v>
      </c>
      <c r="S116" s="20" t="s">
        <v>119</v>
      </c>
      <c r="U116" s="20" t="s">
        <v>123</v>
      </c>
      <c r="V116" s="19" t="s">
        <v>124</v>
      </c>
      <c r="W116" s="19" t="s">
        <v>125</v>
      </c>
      <c r="X116" s="19" t="s">
        <v>126</v>
      </c>
      <c r="Y116" s="19">
        <v>10041</v>
      </c>
      <c r="Z116" s="19" t="s">
        <v>127</v>
      </c>
      <c r="AA116" s="19" t="s">
        <v>128</v>
      </c>
      <c r="AB116" s="19" t="s">
        <v>129</v>
      </c>
      <c r="AF116" s="19">
        <v>100</v>
      </c>
      <c r="AI116" s="36">
        <v>45957</v>
      </c>
      <c r="AJ116" s="47" t="s">
        <v>130</v>
      </c>
    </row>
    <row r="117" spans="1:36" ht="12.75">
      <c r="A117" s="19"/>
      <c r="B117" s="20"/>
      <c r="C117" s="20"/>
      <c r="D117" s="20"/>
      <c r="E117" s="20"/>
      <c r="F117" s="20"/>
      <c r="G117" s="22"/>
      <c r="H117" s="21"/>
      <c r="I117" s="22"/>
      <c r="J117" s="23"/>
      <c r="K117" s="24"/>
      <c r="L117" s="23"/>
      <c r="M117" s="23"/>
      <c r="O117" s="20"/>
      <c r="P117" s="20"/>
      <c r="R117" s="32"/>
      <c r="U117" s="22"/>
      <c r="V117" s="29"/>
      <c r="W117" s="19"/>
      <c r="X117" s="19"/>
      <c r="Y117" s="30"/>
      <c r="Z117" s="19"/>
    </row>
    <row r="118" spans="1:36" ht="12.95">
      <c r="B118" s="22"/>
      <c r="C118" s="22"/>
      <c r="D118" s="22"/>
      <c r="E118" s="33" t="s">
        <v>184</v>
      </c>
      <c r="F118" s="20"/>
      <c r="G118" s="22"/>
      <c r="H118" s="22"/>
      <c r="I118" s="22"/>
      <c r="J118" s="23"/>
      <c r="K118" s="34">
        <f>SUM(K83:K117)</f>
        <v>16776393</v>
      </c>
      <c r="L118" s="23"/>
      <c r="M118" s="23"/>
      <c r="R118" s="32"/>
      <c r="U118" s="22"/>
    </row>
    <row r="119" spans="1:36" ht="15.75" customHeight="1">
      <c r="A119" s="54"/>
      <c r="B119" s="52"/>
      <c r="C119" s="52"/>
      <c r="D119" s="52"/>
      <c r="E119" s="52"/>
      <c r="F119" s="52"/>
      <c r="G119" s="52"/>
      <c r="H119" s="52"/>
      <c r="I119" s="52"/>
      <c r="J119" s="53"/>
      <c r="K119" s="54"/>
      <c r="L119" s="54"/>
      <c r="M119" s="54"/>
      <c r="N119" s="54"/>
      <c r="O119" s="54"/>
      <c r="P119" s="54"/>
      <c r="Q119" s="54"/>
      <c r="R119" s="55"/>
      <c r="S119" s="54"/>
      <c r="T119" s="54"/>
      <c r="U119" s="52"/>
      <c r="V119" s="54"/>
      <c r="W119" s="54"/>
      <c r="X119" s="54"/>
      <c r="Y119" s="54"/>
      <c r="Z119" s="54"/>
      <c r="AA119" s="54"/>
      <c r="AB119" s="54"/>
      <c r="AC119" s="54"/>
      <c r="AD119" s="54"/>
      <c r="AE119" s="54"/>
      <c r="AF119" s="54"/>
      <c r="AG119" s="54"/>
      <c r="AH119" s="54"/>
      <c r="AI119" s="54"/>
      <c r="AJ119" s="54"/>
    </row>
    <row r="120" spans="1:36" ht="15.75" customHeight="1">
      <c r="J120" s="23"/>
      <c r="R120" s="32"/>
      <c r="U120" s="22"/>
    </row>
    <row r="121" spans="1:36" ht="15.75" customHeight="1">
      <c r="R121" s="32"/>
      <c r="U121" s="22"/>
    </row>
    <row r="122" spans="1:36" ht="15.75" customHeight="1">
      <c r="R122" s="32"/>
    </row>
    <row r="123" spans="1:36" ht="15.75" customHeight="1">
      <c r="R123" s="32"/>
    </row>
    <row r="124" spans="1:36" ht="15.75" customHeight="1">
      <c r="R124" s="32"/>
    </row>
    <row r="125" spans="1:36" ht="15.75" customHeight="1">
      <c r="R125" s="32"/>
    </row>
    <row r="126" spans="1:36" ht="15.75" customHeight="1">
      <c r="R126" s="32"/>
    </row>
    <row r="127" spans="1:36" ht="15.75" customHeight="1">
      <c r="R127" s="32"/>
    </row>
    <row r="128" spans="1:36" ht="15.75" customHeight="1">
      <c r="R128" s="32"/>
    </row>
    <row r="129" spans="18:18" ht="15.75" customHeight="1">
      <c r="R129" s="32"/>
    </row>
    <row r="130" spans="18:18" ht="15.75" customHeight="1">
      <c r="R130" s="32"/>
    </row>
  </sheetData>
  <hyperlinks>
    <hyperlink ref="AC73" r:id="rId1" xr:uid="{113D4716-2181-4686-B950-F196AD277312}"/>
    <hyperlink ref="AC75" r:id="rId2" xr:uid="{2B870945-1A29-4E01-9597-B5BDD196A2B4}"/>
    <hyperlink ref="AC76" r:id="rId3" xr:uid="{317B7AEA-65AA-42F0-9B00-4A26A4EF4DF4}"/>
    <hyperlink ref="AC77" r:id="rId4" xr:uid="{A6B6C4A8-A06F-446A-BD0B-F4D048EE6B3C}"/>
    <hyperlink ref="AC79" r:id="rId5" xr:uid="{BE9B347D-CCB7-47C7-AF18-F399A427CC13}"/>
    <hyperlink ref="AC74" r:id="rId6" xr:uid="{707FAB86-F30C-4D11-BD21-AFFBB043755C}"/>
    <hyperlink ref="AC78" r:id="rId7" xr:uid="{A65F9707-C164-4493-9A65-4527EC730E16}"/>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56EC-F883-4099-BA2D-C915C1066289}">
  <dimension ref="A1:B6"/>
  <sheetViews>
    <sheetView topLeftCell="B2" workbookViewId="0">
      <selection activeCell="B2" sqref="B2"/>
    </sheetView>
  </sheetViews>
  <sheetFormatPr defaultColWidth="8.85546875" defaultRowHeight="15"/>
  <cols>
    <col min="2" max="2" width="103" customWidth="1"/>
  </cols>
  <sheetData>
    <row r="1" spans="1:2">
      <c r="B1" s="28" t="s">
        <v>1</v>
      </c>
    </row>
    <row r="3" spans="1:2">
      <c r="A3" s="28" t="s">
        <v>185</v>
      </c>
      <c r="B3" s="28" t="s">
        <v>186</v>
      </c>
    </row>
    <row r="4" spans="1:2" ht="200.25" customHeight="1">
      <c r="A4" s="59" t="s">
        <v>144</v>
      </c>
      <c r="B4" s="60" t="s">
        <v>187</v>
      </c>
    </row>
    <row r="5" spans="1:2" ht="243" customHeight="1">
      <c r="A5" s="59" t="s">
        <v>177</v>
      </c>
      <c r="B5" s="60" t="s">
        <v>188</v>
      </c>
    </row>
    <row r="6" spans="1:2" ht="274.5" customHeight="1">
      <c r="A6" s="56" t="s">
        <v>178</v>
      </c>
      <c r="B6" s="58" t="s">
        <v>189</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02B2-D8E9-944B-9B76-95DBE1301ADB}">
  <sheetPr>
    <outlinePr summaryBelow="0" summaryRight="0"/>
  </sheetPr>
  <dimension ref="A1:W32"/>
  <sheetViews>
    <sheetView topLeftCell="A23" zoomScale="120" zoomScaleNormal="120" workbookViewId="0">
      <selection activeCell="F32" sqref="F32"/>
    </sheetView>
  </sheetViews>
  <sheetFormatPr defaultColWidth="12.42578125" defaultRowHeight="15.75" customHeight="1"/>
  <cols>
    <col min="1" max="1" width="27.140625" style="8" customWidth="1"/>
    <col min="2" max="3" width="12.42578125" style="8"/>
    <col min="4" max="4" width="18.42578125" style="8" customWidth="1"/>
    <col min="5" max="7" width="22.85546875" style="8" customWidth="1"/>
    <col min="8" max="8" width="25.42578125" style="8" customWidth="1"/>
    <col min="9" max="9" width="24.42578125" style="8" customWidth="1"/>
    <col min="10" max="12" width="18.42578125" style="8" customWidth="1"/>
    <col min="13" max="13" width="29.140625" style="8" customWidth="1"/>
    <col min="14" max="14" width="21.42578125" style="8" customWidth="1"/>
    <col min="15" max="15" width="16.42578125" style="8" customWidth="1"/>
    <col min="16" max="16384" width="12.42578125" style="8"/>
  </cols>
  <sheetData>
    <row r="1" spans="1:23" ht="15.75" customHeight="1">
      <c r="A1" s="7" t="s">
        <v>77</v>
      </c>
      <c r="B1" s="7" t="s">
        <v>78</v>
      </c>
      <c r="C1" s="7" t="s">
        <v>80</v>
      </c>
      <c r="D1" s="7" t="s">
        <v>190</v>
      </c>
      <c r="E1" s="7" t="s">
        <v>81</v>
      </c>
      <c r="F1" s="7" t="s">
        <v>191</v>
      </c>
      <c r="G1" s="7" t="s">
        <v>192</v>
      </c>
      <c r="H1" s="7" t="s">
        <v>193</v>
      </c>
      <c r="I1" s="7" t="s">
        <v>194</v>
      </c>
      <c r="J1" s="7"/>
      <c r="K1" s="7"/>
      <c r="L1" s="7"/>
      <c r="M1" s="7"/>
      <c r="N1" s="7"/>
      <c r="O1" s="7"/>
      <c r="P1" s="7"/>
      <c r="Q1" s="7"/>
      <c r="R1" s="7"/>
      <c r="S1" s="7"/>
      <c r="T1" s="7"/>
      <c r="U1" s="7"/>
      <c r="V1" s="7"/>
      <c r="W1" s="7"/>
    </row>
    <row r="2" spans="1:23" ht="14.1">
      <c r="A2" s="13" t="s">
        <v>195</v>
      </c>
      <c r="B2" s="14" t="s">
        <v>114</v>
      </c>
      <c r="C2" s="14" t="s">
        <v>115</v>
      </c>
      <c r="D2" s="13"/>
      <c r="E2" s="14" t="s">
        <v>116</v>
      </c>
      <c r="F2" s="14"/>
      <c r="G2" s="14"/>
      <c r="H2" s="13"/>
      <c r="I2" s="15" t="s">
        <v>142</v>
      </c>
    </row>
    <row r="3" spans="1:23" ht="14.1">
      <c r="A3" s="9"/>
      <c r="B3" s="11"/>
      <c r="C3" s="11"/>
      <c r="D3" s="16">
        <v>45959</v>
      </c>
      <c r="E3" s="10"/>
      <c r="F3" s="12">
        <v>34470000</v>
      </c>
      <c r="G3" s="10" t="s">
        <v>117</v>
      </c>
      <c r="H3" s="12">
        <f>SUM(F3:G3)</f>
        <v>34470000</v>
      </c>
      <c r="I3" s="12"/>
    </row>
    <row r="4" spans="1:23" ht="14.1">
      <c r="A4" s="9"/>
      <c r="B4" s="11"/>
      <c r="C4" s="11"/>
      <c r="D4" s="16">
        <v>45978</v>
      </c>
      <c r="E4" s="10"/>
      <c r="F4" s="106">
        <v>-5844398</v>
      </c>
      <c r="G4" s="10" t="s">
        <v>131</v>
      </c>
      <c r="H4" s="43">
        <f>H3+F4</f>
        <v>28625602</v>
      </c>
    </row>
    <row r="5" spans="1:23" ht="14.1">
      <c r="A5" s="9"/>
      <c r="B5" s="11"/>
      <c r="C5" s="11"/>
      <c r="D5" s="107">
        <v>45979</v>
      </c>
      <c r="E5" s="10"/>
      <c r="F5" s="106">
        <v>-6677557</v>
      </c>
      <c r="G5" s="10" t="s">
        <v>131</v>
      </c>
      <c r="H5" s="43">
        <f>H4+F5</f>
        <v>21948045</v>
      </c>
    </row>
    <row r="6" spans="1:23" ht="14.1">
      <c r="A6" s="9"/>
      <c r="B6" s="11"/>
      <c r="C6" s="11"/>
      <c r="D6" s="107">
        <v>45980</v>
      </c>
      <c r="E6" s="10"/>
      <c r="F6" s="106">
        <v>-1670607</v>
      </c>
      <c r="G6" s="10" t="s">
        <v>131</v>
      </c>
      <c r="H6" s="43">
        <f>H5+F6</f>
        <v>20277438</v>
      </c>
    </row>
    <row r="7" spans="1:23" ht="14.1">
      <c r="A7" s="9"/>
      <c r="B7" s="11"/>
      <c r="C7" s="11"/>
      <c r="D7" s="107">
        <v>45981</v>
      </c>
      <c r="E7" s="10"/>
      <c r="F7" s="106">
        <v>-1572226</v>
      </c>
      <c r="G7" s="10" t="s">
        <v>131</v>
      </c>
      <c r="H7" s="43">
        <f>H6+F7</f>
        <v>18705212</v>
      </c>
    </row>
    <row r="8" spans="1:23" ht="14.1">
      <c r="A8" s="9"/>
      <c r="B8" s="11"/>
      <c r="C8" s="11"/>
      <c r="E8" s="10"/>
      <c r="F8" s="10"/>
      <c r="G8" s="10"/>
    </row>
    <row r="9" spans="1:23" ht="14.1">
      <c r="A9" s="9"/>
      <c r="B9" s="11"/>
      <c r="C9" s="11"/>
      <c r="E9" s="10"/>
      <c r="F9" s="10"/>
      <c r="G9" s="10"/>
    </row>
    <row r="10" spans="1:23" ht="14.1">
      <c r="A10" s="9"/>
      <c r="B10" s="11"/>
      <c r="C10" s="11"/>
      <c r="E10" s="10"/>
      <c r="F10" s="10"/>
      <c r="G10" s="10"/>
    </row>
    <row r="11" spans="1:23" ht="14.1">
      <c r="A11" s="13" t="s">
        <v>195</v>
      </c>
      <c r="B11" s="14" t="s">
        <v>196</v>
      </c>
      <c r="C11" s="14" t="s">
        <v>136</v>
      </c>
      <c r="D11" s="13"/>
      <c r="E11" s="14" t="s">
        <v>197</v>
      </c>
      <c r="F11" s="14"/>
      <c r="G11" s="14"/>
      <c r="H11" s="13"/>
      <c r="I11" s="15">
        <v>500000000</v>
      </c>
    </row>
    <row r="12" spans="1:23" ht="13.5">
      <c r="A12" s="9"/>
      <c r="B12" s="11"/>
      <c r="C12" s="11"/>
      <c r="D12" s="107">
        <v>45978</v>
      </c>
      <c r="F12" s="43">
        <v>5844398</v>
      </c>
      <c r="G12" s="44" t="s">
        <v>138</v>
      </c>
      <c r="H12" s="43">
        <f>SUM(F12)</f>
        <v>5844398</v>
      </c>
    </row>
    <row r="13" spans="1:23" ht="13.5">
      <c r="A13" s="9"/>
      <c r="B13" s="11"/>
      <c r="C13" s="11"/>
      <c r="D13" s="107">
        <v>45979</v>
      </c>
      <c r="E13" s="10"/>
      <c r="F13" s="43">
        <v>6677557</v>
      </c>
      <c r="G13" s="44" t="s">
        <v>138</v>
      </c>
      <c r="H13" s="43">
        <f>H12+F13</f>
        <v>12521955</v>
      </c>
    </row>
    <row r="14" spans="1:23" ht="13.5">
      <c r="A14" s="9"/>
      <c r="B14" s="11"/>
      <c r="C14" s="11"/>
      <c r="D14" s="107">
        <v>45980</v>
      </c>
      <c r="E14" s="10"/>
      <c r="F14" s="43">
        <v>1670607</v>
      </c>
      <c r="G14" s="44" t="s">
        <v>138</v>
      </c>
      <c r="H14" s="43">
        <f>H13+F14</f>
        <v>14192562</v>
      </c>
    </row>
    <row r="15" spans="1:23" ht="13.5">
      <c r="A15" s="9"/>
      <c r="B15" s="11"/>
      <c r="C15" s="11"/>
      <c r="D15" s="107">
        <v>45981</v>
      </c>
      <c r="E15" s="10"/>
      <c r="F15" s="43">
        <v>1572226</v>
      </c>
      <c r="G15" s="44" t="s">
        <v>138</v>
      </c>
      <c r="H15" s="43">
        <f>H14+F15</f>
        <v>15764788</v>
      </c>
    </row>
    <row r="16" spans="1:23" ht="14.1">
      <c r="A16" s="9"/>
      <c r="B16" s="11"/>
      <c r="C16" s="11"/>
      <c r="E16" s="10"/>
      <c r="F16" s="10"/>
      <c r="G16" s="10"/>
    </row>
    <row r="17" spans="1:9" ht="14.1">
      <c r="A17" s="9"/>
      <c r="B17" s="11"/>
      <c r="C17" s="11"/>
      <c r="E17" s="10"/>
      <c r="F17" s="10"/>
      <c r="G17" s="10"/>
    </row>
    <row r="18" spans="1:9" ht="14.1">
      <c r="A18" s="13" t="s">
        <v>195</v>
      </c>
      <c r="B18" s="14" t="s">
        <v>142</v>
      </c>
      <c r="C18" s="14" t="s">
        <v>142</v>
      </c>
      <c r="D18" s="13"/>
      <c r="E18" s="14" t="s">
        <v>198</v>
      </c>
      <c r="F18" s="14"/>
      <c r="G18" s="14"/>
      <c r="H18" s="13"/>
      <c r="I18" s="15">
        <v>50000000</v>
      </c>
    </row>
    <row r="19" spans="1:9" ht="14.1">
      <c r="A19" s="9"/>
      <c r="B19" s="11"/>
      <c r="C19" s="11"/>
      <c r="D19" s="16">
        <v>45959</v>
      </c>
      <c r="E19" s="10"/>
      <c r="F19" s="12">
        <v>11490000</v>
      </c>
      <c r="G19" s="10" t="s">
        <v>117</v>
      </c>
      <c r="H19" s="12">
        <f>SUM(F19)</f>
        <v>11490000</v>
      </c>
    </row>
    <row r="20" spans="1:9" ht="14.1">
      <c r="A20" s="9"/>
      <c r="B20" s="11"/>
      <c r="C20" s="11"/>
      <c r="E20" s="10"/>
      <c r="F20" s="12"/>
      <c r="G20" s="10"/>
    </row>
    <row r="21" spans="1:9" ht="14.1">
      <c r="A21" s="9"/>
      <c r="B21" s="11"/>
      <c r="C21" s="11"/>
      <c r="E21" s="10"/>
      <c r="F21" s="10"/>
      <c r="G21" s="10"/>
    </row>
    <row r="22" spans="1:9" ht="14.1">
      <c r="A22" s="9"/>
      <c r="B22" s="11"/>
      <c r="C22" s="11"/>
      <c r="E22" s="10"/>
      <c r="F22" s="10"/>
      <c r="G22" s="10"/>
    </row>
    <row r="23" spans="1:9" ht="14.1">
      <c r="A23" s="9"/>
      <c r="B23" s="11"/>
      <c r="C23" s="11"/>
      <c r="E23" s="10"/>
      <c r="F23" s="10"/>
      <c r="G23" s="10"/>
    </row>
    <row r="24" spans="1:9" ht="14.1">
      <c r="A24" s="9"/>
      <c r="B24" s="11"/>
      <c r="C24" s="11"/>
      <c r="E24" s="10"/>
      <c r="F24" s="10"/>
      <c r="G24" s="10"/>
    </row>
    <row r="25" spans="1:9" ht="14.1">
      <c r="A25" s="9"/>
      <c r="B25" s="11"/>
      <c r="C25" s="11"/>
      <c r="E25" s="10"/>
      <c r="F25" s="10"/>
      <c r="G25" s="10"/>
    </row>
    <row r="26" spans="1:9" ht="14.1">
      <c r="A26" s="9"/>
      <c r="B26" s="11"/>
      <c r="C26" s="11"/>
      <c r="E26" s="10"/>
      <c r="F26" s="10"/>
      <c r="G26" s="10"/>
    </row>
    <row r="27" spans="1:9" ht="14.1">
      <c r="A27" s="13" t="s">
        <v>195</v>
      </c>
      <c r="B27" s="14" t="s">
        <v>174</v>
      </c>
      <c r="C27" s="14" t="s">
        <v>175</v>
      </c>
      <c r="D27" s="13"/>
      <c r="E27" s="14" t="s">
        <v>176</v>
      </c>
      <c r="F27" s="14"/>
      <c r="G27" s="14"/>
      <c r="H27" s="13"/>
      <c r="I27" s="15" t="s">
        <v>142</v>
      </c>
    </row>
    <row r="28" spans="1:9" ht="15.75" customHeight="1">
      <c r="D28" s="16">
        <v>45959</v>
      </c>
      <c r="F28" s="12">
        <v>8894000</v>
      </c>
      <c r="G28" s="10" t="s">
        <v>117</v>
      </c>
      <c r="H28" s="12">
        <f>SUM(F28)</f>
        <v>8894000</v>
      </c>
    </row>
    <row r="29" spans="1:9" ht="15.75" customHeight="1">
      <c r="D29" s="107">
        <v>45978</v>
      </c>
      <c r="F29" s="12">
        <v>2922199</v>
      </c>
      <c r="G29" s="11" t="s">
        <v>138</v>
      </c>
      <c r="H29" s="43">
        <f>H28+F29</f>
        <v>11816199</v>
      </c>
    </row>
    <row r="30" spans="1:9" ht="15.75" customHeight="1">
      <c r="D30" s="107">
        <v>45979</v>
      </c>
      <c r="F30" s="12">
        <v>3338778</v>
      </c>
      <c r="G30" s="11" t="s">
        <v>138</v>
      </c>
      <c r="H30" s="43">
        <f>H29+F30</f>
        <v>15154977</v>
      </c>
    </row>
    <row r="31" spans="1:9" ht="15.75" customHeight="1">
      <c r="D31" s="107">
        <v>45980</v>
      </c>
      <c r="F31" s="12">
        <v>835303</v>
      </c>
      <c r="G31" s="11" t="s">
        <v>138</v>
      </c>
      <c r="H31" s="43">
        <f>H30+F31</f>
        <v>15990280</v>
      </c>
    </row>
    <row r="32" spans="1:9" ht="15.75" customHeight="1">
      <c r="D32" s="107">
        <v>45981</v>
      </c>
      <c r="F32" s="12">
        <v>786113</v>
      </c>
      <c r="G32" s="11" t="s">
        <v>138</v>
      </c>
      <c r="H32" s="43">
        <f>H31+F32</f>
        <v>16776393</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3EDB-C249-4E18-9D0B-B6DDA4C78B02}">
  <sheetPr>
    <pageSetUpPr fitToPage="1"/>
  </sheetPr>
  <dimension ref="A1:J46"/>
  <sheetViews>
    <sheetView showGridLines="0" zoomScale="80" zoomScaleNormal="80" workbookViewId="0">
      <selection activeCell="C15" sqref="C15"/>
    </sheetView>
  </sheetViews>
  <sheetFormatPr defaultColWidth="8.85546875" defaultRowHeight="12.75"/>
  <cols>
    <col min="1" max="1" width="3.85546875" style="8" customWidth="1"/>
    <col min="2" max="2" width="37.140625" style="8" customWidth="1"/>
    <col min="3" max="7" width="32.85546875" style="8" customWidth="1"/>
    <col min="8" max="8" width="56.140625" style="8" customWidth="1"/>
    <col min="9" max="9" width="3.85546875" style="8" customWidth="1"/>
    <col min="10" max="11" width="28.7109375" style="8" customWidth="1"/>
    <col min="12" max="16384" width="8.85546875" style="8"/>
  </cols>
  <sheetData>
    <row r="1" spans="1:10" ht="18">
      <c r="A1" s="108"/>
      <c r="B1" s="108"/>
      <c r="C1" s="108"/>
      <c r="D1" s="108"/>
      <c r="E1" s="108"/>
      <c r="F1" s="108"/>
      <c r="G1" s="108"/>
      <c r="H1" s="108"/>
      <c r="I1" s="108"/>
      <c r="J1" s="109"/>
    </row>
    <row r="2" spans="1:10" ht="18">
      <c r="A2" s="108"/>
      <c r="B2" s="125" t="s">
        <v>1</v>
      </c>
      <c r="C2" s="125"/>
      <c r="D2" s="125"/>
      <c r="E2" s="125"/>
      <c r="F2" s="125"/>
      <c r="G2" s="125"/>
      <c r="H2" s="125"/>
      <c r="I2" s="108"/>
      <c r="J2" s="109"/>
    </row>
    <row r="3" spans="1:10" ht="18">
      <c r="A3" s="108"/>
      <c r="B3" s="125" t="s">
        <v>199</v>
      </c>
      <c r="C3" s="125"/>
      <c r="D3" s="125"/>
      <c r="E3" s="125"/>
      <c r="F3" s="125"/>
      <c r="G3" s="125"/>
      <c r="H3" s="125"/>
      <c r="I3" s="108"/>
      <c r="J3" s="109"/>
    </row>
    <row r="4" spans="1:10" ht="17.100000000000001" customHeight="1">
      <c r="A4" s="108"/>
      <c r="B4" s="125" t="s">
        <v>200</v>
      </c>
      <c r="C4" s="125"/>
      <c r="D4" s="125"/>
      <c r="E4" s="125"/>
      <c r="F4" s="125"/>
      <c r="G4" s="125"/>
      <c r="H4" s="125"/>
      <c r="I4" s="108"/>
      <c r="J4" s="109"/>
    </row>
    <row r="5" spans="1:10" ht="17.100000000000001" customHeight="1">
      <c r="A5" s="108"/>
      <c r="B5" s="108"/>
      <c r="C5" s="108"/>
      <c r="D5" s="108"/>
      <c r="E5" s="108"/>
      <c r="F5" s="108"/>
      <c r="G5" s="108"/>
      <c r="H5" s="108"/>
      <c r="I5" s="108"/>
      <c r="J5" s="109"/>
    </row>
    <row r="6" spans="1:10" ht="17.100000000000001" customHeight="1">
      <c r="A6" s="108"/>
      <c r="B6" s="108"/>
      <c r="C6" s="108"/>
      <c r="D6" s="108"/>
      <c r="E6" s="108"/>
      <c r="F6" s="108"/>
      <c r="G6" s="108"/>
      <c r="H6" s="108"/>
      <c r="I6" s="108"/>
      <c r="J6" s="109"/>
    </row>
    <row r="7" spans="1:10" ht="18">
      <c r="A7" s="108"/>
      <c r="B7" s="108" t="s">
        <v>182</v>
      </c>
      <c r="C7" s="108"/>
      <c r="D7" s="108"/>
      <c r="E7" s="108"/>
      <c r="F7" s="108"/>
      <c r="G7" s="108"/>
      <c r="H7" s="108"/>
      <c r="I7" s="108"/>
      <c r="J7" s="109"/>
    </row>
    <row r="8" spans="1:10" ht="18">
      <c r="A8" s="108"/>
      <c r="B8" s="108" t="s">
        <v>201</v>
      </c>
      <c r="C8" s="108"/>
      <c r="D8" s="108"/>
      <c r="E8" s="108"/>
      <c r="F8" s="108"/>
      <c r="G8" s="108"/>
      <c r="H8" s="108"/>
      <c r="I8" s="108"/>
      <c r="J8" s="109"/>
    </row>
    <row r="9" spans="1:10" ht="18">
      <c r="A9" s="108"/>
      <c r="B9" s="108" t="s">
        <v>202</v>
      </c>
      <c r="C9" s="108"/>
      <c r="D9" s="108"/>
      <c r="E9" s="108"/>
      <c r="F9" s="108"/>
      <c r="G9" s="108"/>
      <c r="H9" s="108"/>
      <c r="I9" s="108"/>
      <c r="J9" s="109"/>
    </row>
    <row r="10" spans="1:10" ht="52.5">
      <c r="A10" s="108"/>
      <c r="B10" s="110" t="s">
        <v>203</v>
      </c>
      <c r="C10" s="108"/>
      <c r="D10" s="108"/>
      <c r="E10" s="108"/>
      <c r="F10" s="108"/>
      <c r="G10" s="108"/>
      <c r="H10" s="108"/>
      <c r="I10" s="108"/>
      <c r="J10" s="109"/>
    </row>
    <row r="11" spans="1:10" ht="18">
      <c r="A11" s="108"/>
      <c r="B11" s="108" t="s">
        <v>204</v>
      </c>
      <c r="C11" s="110"/>
      <c r="D11" s="110"/>
      <c r="E11" s="108"/>
      <c r="F11" s="108"/>
      <c r="G11" s="108"/>
      <c r="H11" s="108"/>
      <c r="I11" s="108"/>
      <c r="J11" s="109"/>
    </row>
    <row r="12" spans="1:10" ht="45" customHeight="1">
      <c r="A12" s="108"/>
      <c r="B12" s="108" t="s">
        <v>205</v>
      </c>
      <c r="C12" s="108"/>
      <c r="D12" s="108"/>
      <c r="E12" s="108"/>
      <c r="F12" s="108"/>
      <c r="G12" s="108"/>
      <c r="H12" s="108"/>
      <c r="I12" s="108"/>
      <c r="J12" s="109"/>
    </row>
    <row r="13" spans="1:10" ht="18">
      <c r="A13" s="108"/>
      <c r="B13" s="108"/>
      <c r="C13" s="108"/>
      <c r="D13" s="108"/>
      <c r="E13" s="108"/>
      <c r="F13" s="108"/>
      <c r="G13" s="108"/>
      <c r="H13" s="108"/>
      <c r="I13" s="108"/>
      <c r="J13" s="109"/>
    </row>
    <row r="14" spans="1:10" ht="18">
      <c r="A14" s="108"/>
      <c r="B14" s="108"/>
      <c r="C14" s="108"/>
      <c r="D14" s="108"/>
      <c r="E14" s="108"/>
      <c r="F14" s="108"/>
      <c r="G14" s="108"/>
      <c r="H14" s="108"/>
      <c r="I14" s="108"/>
      <c r="J14" s="109"/>
    </row>
    <row r="15" spans="1:10" ht="18">
      <c r="A15" s="108"/>
      <c r="B15" s="111" t="s">
        <v>81</v>
      </c>
      <c r="C15" s="112" t="s">
        <v>206</v>
      </c>
      <c r="D15" s="112" t="s">
        <v>207</v>
      </c>
      <c r="E15" s="112" t="s">
        <v>208</v>
      </c>
      <c r="F15" s="112" t="s">
        <v>209</v>
      </c>
      <c r="G15" s="112" t="s">
        <v>210</v>
      </c>
      <c r="H15" s="112" t="s">
        <v>211</v>
      </c>
      <c r="I15" s="108"/>
      <c r="J15" s="109"/>
    </row>
    <row r="16" spans="1:10" ht="18">
      <c r="A16" s="108"/>
      <c r="B16" s="113" t="s">
        <v>212</v>
      </c>
      <c r="C16" s="114" t="s">
        <v>213</v>
      </c>
      <c r="D16" s="114" t="s">
        <v>214</v>
      </c>
      <c r="E16" s="115">
        <v>172350</v>
      </c>
      <c r="F16" s="114" t="s">
        <v>142</v>
      </c>
      <c r="G16" s="114" t="s">
        <v>36</v>
      </c>
      <c r="H16" s="114" t="s">
        <v>215</v>
      </c>
      <c r="I16" s="108"/>
      <c r="J16" s="109"/>
    </row>
    <row r="17" spans="1:10" ht="18">
      <c r="A17" s="108"/>
      <c r="B17" s="108"/>
      <c r="C17" s="108"/>
      <c r="D17" s="108"/>
      <c r="E17" s="108"/>
      <c r="F17" s="108"/>
      <c r="G17" s="108"/>
      <c r="H17" s="108"/>
      <c r="I17" s="108"/>
      <c r="J17" s="109"/>
    </row>
    <row r="18" spans="1:10" ht="18" customHeight="1">
      <c r="A18" s="108"/>
      <c r="B18" s="108"/>
      <c r="C18" s="108"/>
      <c r="D18" s="108"/>
      <c r="E18" s="108"/>
      <c r="F18" s="108"/>
      <c r="G18" s="108"/>
      <c r="H18" s="108"/>
      <c r="I18" s="108"/>
      <c r="J18" s="109"/>
    </row>
    <row r="19" spans="1:10" ht="17.100000000000001" customHeight="1">
      <c r="A19" s="108"/>
      <c r="B19" s="116" t="s">
        <v>216</v>
      </c>
      <c r="C19" s="116"/>
      <c r="D19" s="116"/>
      <c r="E19" s="108"/>
      <c r="F19" s="108"/>
      <c r="G19" s="108"/>
      <c r="H19" s="108"/>
      <c r="I19" s="108"/>
      <c r="J19" s="109"/>
    </row>
    <row r="20" spans="1:10" ht="18">
      <c r="A20" s="108"/>
      <c r="B20" s="108"/>
      <c r="C20" s="108"/>
      <c r="D20" s="108"/>
      <c r="E20" s="108"/>
      <c r="F20" s="108"/>
      <c r="G20" s="108"/>
      <c r="H20" s="108"/>
      <c r="I20" s="108"/>
      <c r="J20" s="109"/>
    </row>
    <row r="21" spans="1:10" ht="186.75" customHeight="1">
      <c r="A21" s="108"/>
      <c r="B21" s="117" t="s">
        <v>217</v>
      </c>
      <c r="C21" s="126" t="s">
        <v>218</v>
      </c>
      <c r="D21" s="127"/>
      <c r="E21" s="127"/>
      <c r="F21" s="127"/>
      <c r="G21" s="127"/>
      <c r="H21" s="128"/>
      <c r="I21" s="108"/>
      <c r="J21" s="109"/>
    </row>
    <row r="22" spans="1:10" ht="210" customHeight="1">
      <c r="A22" s="108"/>
      <c r="B22" s="118" t="s">
        <v>219</v>
      </c>
      <c r="C22" s="126" t="s">
        <v>220</v>
      </c>
      <c r="D22" s="127"/>
      <c r="E22" s="127"/>
      <c r="F22" s="127"/>
      <c r="G22" s="127"/>
      <c r="H22" s="128"/>
      <c r="I22" s="108"/>
      <c r="J22" s="109"/>
    </row>
    <row r="23" spans="1:10" ht="242.25" customHeight="1">
      <c r="A23" s="108"/>
      <c r="B23" s="122" t="s">
        <v>215</v>
      </c>
      <c r="C23" s="129" t="s">
        <v>221</v>
      </c>
      <c r="D23" s="130"/>
      <c r="E23" s="130"/>
      <c r="F23" s="130"/>
      <c r="G23" s="130"/>
      <c r="H23" s="131"/>
      <c r="I23" s="108"/>
      <c r="J23" s="109"/>
    </row>
    <row r="24" spans="1:10" ht="18">
      <c r="A24" s="108"/>
      <c r="B24" s="108"/>
      <c r="C24" s="108"/>
      <c r="D24" s="108"/>
      <c r="E24" s="108"/>
      <c r="F24" s="108"/>
      <c r="G24" s="108"/>
      <c r="H24" s="108"/>
      <c r="I24" s="108"/>
      <c r="J24" s="109"/>
    </row>
    <row r="25" spans="1:10" ht="18">
      <c r="A25" s="108"/>
      <c r="B25" s="108"/>
      <c r="C25" s="108"/>
      <c r="D25" s="108"/>
      <c r="E25" s="108"/>
      <c r="F25" s="108"/>
      <c r="G25" s="108"/>
      <c r="H25" s="108"/>
      <c r="I25" s="108"/>
      <c r="J25" s="109"/>
    </row>
    <row r="26" spans="1:10" ht="18.75">
      <c r="A26" s="108"/>
      <c r="B26" s="124" t="s">
        <v>222</v>
      </c>
      <c r="C26" s="124"/>
      <c r="D26" s="124"/>
      <c r="E26" s="124"/>
      <c r="F26" s="124"/>
      <c r="G26" s="124"/>
      <c r="H26" s="124"/>
      <c r="I26" s="108"/>
      <c r="J26" s="109"/>
    </row>
    <row r="27" spans="1:10" ht="18">
      <c r="A27" s="119"/>
      <c r="B27" s="119"/>
      <c r="C27" s="119"/>
      <c r="D27" s="119"/>
      <c r="E27" s="119"/>
      <c r="F27" s="119"/>
      <c r="G27" s="119"/>
      <c r="H27" s="119"/>
      <c r="I27" s="119"/>
      <c r="J27" s="109"/>
    </row>
    <row r="28" spans="1:10" ht="18.75">
      <c r="A28" s="119"/>
      <c r="B28" s="120"/>
      <c r="C28" s="120"/>
      <c r="D28" s="120"/>
      <c r="E28" s="121"/>
      <c r="F28" s="121"/>
      <c r="G28" s="121"/>
      <c r="H28" s="121"/>
      <c r="I28" s="119"/>
      <c r="J28" s="109"/>
    </row>
    <row r="29" spans="1:10" ht="18">
      <c r="A29" s="119"/>
      <c r="B29" s="119"/>
      <c r="C29" s="119"/>
      <c r="D29" s="119"/>
      <c r="E29" s="119"/>
      <c r="F29" s="119"/>
      <c r="G29" s="119"/>
      <c r="H29" s="119"/>
      <c r="I29" s="119"/>
      <c r="J29" s="109"/>
    </row>
    <row r="30" spans="1:10" ht="18">
      <c r="A30" s="119"/>
      <c r="B30" s="119"/>
      <c r="C30" s="119"/>
      <c r="D30" s="119"/>
      <c r="E30" s="119"/>
      <c r="F30" s="119"/>
      <c r="G30" s="119"/>
      <c r="H30" s="119"/>
      <c r="I30" s="119"/>
      <c r="J30" s="109"/>
    </row>
    <row r="31" spans="1:10" ht="18">
      <c r="A31" s="119"/>
      <c r="B31" s="119"/>
      <c r="C31" s="119"/>
      <c r="D31" s="119"/>
      <c r="E31" s="119"/>
      <c r="F31" s="119"/>
      <c r="G31" s="119"/>
      <c r="H31" s="119"/>
      <c r="I31" s="119"/>
      <c r="J31" s="109"/>
    </row>
    <row r="32" spans="1:10" ht="18">
      <c r="A32" s="119"/>
      <c r="B32" s="119"/>
      <c r="C32" s="119"/>
      <c r="D32" s="119"/>
      <c r="E32" s="119"/>
      <c r="F32" s="119"/>
      <c r="G32" s="119"/>
      <c r="H32" s="119"/>
      <c r="I32" s="119"/>
      <c r="J32" s="109"/>
    </row>
    <row r="33" spans="1:10" ht="18">
      <c r="A33" s="119"/>
      <c r="B33" s="119"/>
      <c r="C33" s="119"/>
      <c r="D33" s="119"/>
      <c r="E33" s="119"/>
      <c r="F33" s="119"/>
      <c r="G33" s="119"/>
      <c r="H33" s="119"/>
      <c r="I33" s="119"/>
      <c r="J33" s="109"/>
    </row>
    <row r="34" spans="1:10" ht="15.75">
      <c r="B34" s="26"/>
      <c r="C34" s="26"/>
      <c r="D34" s="26"/>
      <c r="E34" s="26"/>
      <c r="F34" s="26"/>
      <c r="G34" s="26"/>
      <c r="H34" s="26"/>
      <c r="I34" s="26"/>
      <c r="J34" s="109"/>
    </row>
    <row r="35" spans="1:10" ht="15.75">
      <c r="B35" s="26"/>
      <c r="C35" s="26"/>
      <c r="D35" s="26"/>
      <c r="E35" s="26"/>
      <c r="F35" s="26"/>
      <c r="G35" s="26"/>
      <c r="H35" s="26"/>
      <c r="I35" s="26"/>
      <c r="J35" s="109"/>
    </row>
    <row r="36" spans="1:10" ht="15.75">
      <c r="B36" s="26"/>
      <c r="C36" s="26"/>
      <c r="D36" s="26"/>
      <c r="E36" s="26"/>
      <c r="F36" s="26"/>
      <c r="G36" s="26"/>
      <c r="H36" s="26"/>
      <c r="I36" s="26"/>
      <c r="J36" s="109"/>
    </row>
    <row r="37" spans="1:10">
      <c r="B37" s="18"/>
      <c r="C37" s="18"/>
      <c r="D37" s="18"/>
      <c r="E37" s="18"/>
      <c r="F37" s="18"/>
      <c r="G37" s="18"/>
      <c r="H37" s="18"/>
      <c r="I37" s="18"/>
    </row>
    <row r="38" spans="1:10">
      <c r="B38" s="18"/>
      <c r="C38" s="18"/>
      <c r="D38" s="18"/>
      <c r="E38" s="18"/>
      <c r="F38" s="18"/>
      <c r="G38" s="18"/>
      <c r="H38" s="18"/>
      <c r="I38" s="18"/>
    </row>
    <row r="39" spans="1:10">
      <c r="B39" s="18"/>
      <c r="C39" s="18"/>
      <c r="D39" s="18"/>
      <c r="E39" s="18"/>
      <c r="F39" s="18"/>
      <c r="G39" s="18"/>
      <c r="H39" s="18"/>
      <c r="I39" s="18"/>
    </row>
    <row r="40" spans="1:10">
      <c r="B40" s="18"/>
      <c r="C40" s="18"/>
      <c r="D40" s="18"/>
      <c r="E40" s="18"/>
      <c r="F40" s="18"/>
      <c r="G40" s="18"/>
      <c r="H40" s="18"/>
      <c r="I40" s="18"/>
    </row>
    <row r="41" spans="1:10">
      <c r="B41" s="18"/>
      <c r="C41" s="18"/>
      <c r="D41" s="18"/>
      <c r="E41" s="18"/>
      <c r="F41" s="18"/>
      <c r="G41" s="18"/>
      <c r="H41" s="18"/>
      <c r="I41" s="18"/>
    </row>
    <row r="42" spans="1:10">
      <c r="B42" s="18"/>
      <c r="C42" s="18"/>
      <c r="D42" s="18"/>
      <c r="E42" s="18"/>
      <c r="F42" s="18"/>
      <c r="G42" s="18"/>
      <c r="H42" s="18"/>
      <c r="I42" s="18"/>
    </row>
    <row r="43" spans="1:10">
      <c r="B43" s="18"/>
      <c r="C43" s="18"/>
      <c r="D43" s="18"/>
      <c r="E43" s="18"/>
      <c r="F43" s="18"/>
      <c r="G43" s="18"/>
      <c r="H43" s="18"/>
      <c r="I43" s="18"/>
    </row>
    <row r="44" spans="1:10">
      <c r="B44" s="18"/>
      <c r="C44" s="18"/>
      <c r="D44" s="18"/>
      <c r="E44" s="18"/>
      <c r="F44" s="18"/>
      <c r="G44" s="18"/>
      <c r="H44" s="18"/>
      <c r="I44" s="18"/>
    </row>
    <row r="45" spans="1:10">
      <c r="B45" s="18"/>
      <c r="C45" s="18"/>
      <c r="D45" s="18"/>
      <c r="E45" s="18"/>
      <c r="F45" s="18"/>
      <c r="G45" s="18"/>
      <c r="H45" s="18"/>
      <c r="I45" s="18"/>
    </row>
    <row r="46" spans="1:10">
      <c r="B46" s="18"/>
      <c r="C46" s="18"/>
      <c r="D46" s="18"/>
      <c r="E46" s="18"/>
      <c r="F46" s="18"/>
      <c r="G46" s="18"/>
      <c r="H46" s="18"/>
      <c r="I46" s="18"/>
    </row>
  </sheetData>
  <mergeCells count="7">
    <mergeCell ref="B26:H26"/>
    <mergeCell ref="B2:H2"/>
    <mergeCell ref="B3:H3"/>
    <mergeCell ref="B4:H4"/>
    <mergeCell ref="C21:H21"/>
    <mergeCell ref="C22:H22"/>
    <mergeCell ref="C23:H23"/>
  </mergeCells>
  <hyperlinks>
    <hyperlink ref="B11" r:id="rId1" xr:uid="{4147E5EE-5FF8-46DC-867D-0B9D278C057E}"/>
  </hyperlinks>
  <pageMargins left="1" right="1" top="1" bottom="1" header="0.5" footer="0.5"/>
  <pageSetup scale="47" orientation="landscape"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18E4-8FFC-6846-83A0-9B8B19F54FD2}">
  <dimension ref="A1:K611"/>
  <sheetViews>
    <sheetView tabSelected="1" topLeftCell="A561" zoomScale="130" zoomScaleNormal="130" workbookViewId="0">
      <selection activeCell="J578" sqref="J578"/>
    </sheetView>
  </sheetViews>
  <sheetFormatPr defaultColWidth="8.85546875" defaultRowHeight="12.95"/>
  <cols>
    <col min="1" max="1" width="17.28515625" style="18" customWidth="1"/>
    <col min="2" max="2" width="14" style="18" customWidth="1"/>
    <col min="3" max="3" width="32.42578125" style="18" customWidth="1"/>
    <col min="4" max="4" width="15" style="18" customWidth="1"/>
    <col min="5" max="5" width="12.85546875" style="18" customWidth="1"/>
    <col min="6" max="6" width="14" style="18" customWidth="1"/>
    <col min="7" max="7" width="16.140625" style="18" customWidth="1"/>
    <col min="8" max="8" width="15" style="18" customWidth="1"/>
    <col min="9" max="9" width="15.140625" style="18" customWidth="1"/>
    <col min="10" max="10" width="15" style="18" customWidth="1"/>
    <col min="11" max="16384" width="8.85546875" style="18"/>
  </cols>
  <sheetData>
    <row r="1" spans="1:10" ht="12.75">
      <c r="A1" s="27" t="s">
        <v>223</v>
      </c>
      <c r="B1" s="27"/>
      <c r="C1" s="27"/>
      <c r="D1" s="27"/>
      <c r="E1" s="27"/>
      <c r="F1" s="27"/>
    </row>
    <row r="2" spans="1:10" ht="12.75">
      <c r="F2" s="36" t="s">
        <v>119</v>
      </c>
    </row>
    <row r="3" spans="1:10" ht="12.75"/>
    <row r="4" spans="1:10" ht="12.75">
      <c r="A4" s="62" t="s">
        <v>224</v>
      </c>
      <c r="B4" s="62" t="s">
        <v>1</v>
      </c>
      <c r="C4" s="62"/>
      <c r="D4" s="62"/>
      <c r="E4" s="62"/>
      <c r="F4" s="62"/>
      <c r="G4" s="63" t="s">
        <v>119</v>
      </c>
      <c r="H4" s="62" t="s">
        <v>225</v>
      </c>
      <c r="I4" s="64" t="s">
        <v>226</v>
      </c>
      <c r="J4" s="63"/>
    </row>
    <row r="5" spans="1:10" ht="12.75">
      <c r="A5" s="62" t="s">
        <v>227</v>
      </c>
      <c r="B5" s="65">
        <v>45959</v>
      </c>
      <c r="C5" s="62"/>
      <c r="D5" s="62"/>
      <c r="E5" s="62"/>
      <c r="F5" s="62"/>
      <c r="G5" s="63"/>
      <c r="H5" s="62" t="s">
        <v>228</v>
      </c>
      <c r="I5" s="66" t="s">
        <v>115</v>
      </c>
      <c r="J5" s="63"/>
    </row>
    <row r="6" spans="1:10" ht="12.75">
      <c r="A6" s="62"/>
      <c r="B6" s="62"/>
      <c r="C6" s="62"/>
      <c r="D6" s="62"/>
      <c r="E6" s="62"/>
      <c r="F6" s="62"/>
      <c r="G6" s="63"/>
      <c r="H6" s="63"/>
      <c r="I6" s="63"/>
      <c r="J6" s="63"/>
    </row>
    <row r="7" spans="1:10" ht="12.75">
      <c r="A7" s="62"/>
      <c r="B7" s="67" t="s">
        <v>229</v>
      </c>
      <c r="C7" s="67" t="s">
        <v>230</v>
      </c>
      <c r="D7" s="67" t="s">
        <v>231</v>
      </c>
      <c r="E7" s="67" t="s">
        <v>232</v>
      </c>
      <c r="F7" s="67" t="s">
        <v>233</v>
      </c>
      <c r="G7" s="67" t="s">
        <v>234</v>
      </c>
      <c r="H7" s="67" t="s">
        <v>235</v>
      </c>
      <c r="I7" s="67" t="s">
        <v>236</v>
      </c>
      <c r="J7" s="67" t="s">
        <v>235</v>
      </c>
    </row>
    <row r="8" spans="1:10" ht="12.75">
      <c r="A8" s="62"/>
      <c r="B8" s="68"/>
      <c r="C8" s="69"/>
      <c r="D8" s="70"/>
      <c r="E8" s="70"/>
      <c r="F8" s="71"/>
      <c r="G8" s="70"/>
      <c r="H8" s="71"/>
      <c r="I8" s="70"/>
      <c r="J8" s="72"/>
    </row>
    <row r="9" spans="1:10" ht="12.75">
      <c r="B9" s="73">
        <v>1</v>
      </c>
      <c r="C9" s="74" t="s">
        <v>237</v>
      </c>
      <c r="D9" s="75" t="s">
        <v>238</v>
      </c>
      <c r="E9" s="75"/>
      <c r="F9" s="76">
        <v>45959</v>
      </c>
      <c r="G9" s="75"/>
      <c r="H9" s="77"/>
      <c r="I9" s="75" t="s">
        <v>117</v>
      </c>
      <c r="J9" s="77">
        <v>34470000</v>
      </c>
    </row>
    <row r="10" spans="1:10" ht="12.75">
      <c r="A10" s="62"/>
      <c r="B10" s="73"/>
      <c r="C10" s="74"/>
      <c r="D10" s="75"/>
      <c r="E10" s="75"/>
      <c r="F10" s="77"/>
      <c r="G10" s="75"/>
      <c r="H10" s="77"/>
      <c r="I10" s="75"/>
      <c r="J10" s="77"/>
    </row>
    <row r="11" spans="1:10" ht="12.75">
      <c r="B11" s="78" t="s">
        <v>119</v>
      </c>
      <c r="C11" s="31" t="s">
        <v>119</v>
      </c>
      <c r="D11" s="75" t="s">
        <v>119</v>
      </c>
      <c r="E11" s="75" t="s">
        <v>119</v>
      </c>
      <c r="F11" s="76" t="s">
        <v>119</v>
      </c>
      <c r="G11" s="75" t="s">
        <v>119</v>
      </c>
      <c r="H11" s="77" t="s">
        <v>119</v>
      </c>
      <c r="I11" s="75" t="s">
        <v>119</v>
      </c>
      <c r="J11" s="77" t="s">
        <v>119</v>
      </c>
    </row>
    <row r="12" spans="1:10" ht="12.75">
      <c r="B12" s="78"/>
      <c r="C12" s="31"/>
      <c r="D12" s="75"/>
      <c r="E12" s="75"/>
      <c r="F12" s="77"/>
      <c r="G12" s="75"/>
      <c r="H12" s="77"/>
      <c r="I12" s="75"/>
      <c r="J12" s="77"/>
    </row>
    <row r="13" spans="1:10" ht="12.75">
      <c r="A13" s="62"/>
      <c r="B13" s="78" t="s">
        <v>119</v>
      </c>
      <c r="C13" s="79" t="s">
        <v>119</v>
      </c>
      <c r="D13" s="75" t="s">
        <v>119</v>
      </c>
      <c r="E13" s="75" t="s">
        <v>119</v>
      </c>
      <c r="F13" s="76" t="s">
        <v>119</v>
      </c>
      <c r="G13" s="75" t="s">
        <v>119</v>
      </c>
      <c r="H13" s="77" t="s">
        <v>119</v>
      </c>
      <c r="I13" s="75" t="s">
        <v>119</v>
      </c>
      <c r="J13" s="77" t="s">
        <v>119</v>
      </c>
    </row>
    <row r="14" spans="1:10" ht="12.75">
      <c r="A14" s="62"/>
      <c r="B14" s="78"/>
      <c r="C14" s="31"/>
      <c r="D14" s="75"/>
      <c r="E14" s="75"/>
      <c r="F14" s="77"/>
      <c r="G14" s="75"/>
      <c r="H14" s="77"/>
      <c r="I14" s="75"/>
      <c r="J14" s="77"/>
    </row>
    <row r="15" spans="1:10" ht="12.75">
      <c r="A15" s="62"/>
      <c r="B15" s="80"/>
      <c r="C15" s="32"/>
      <c r="D15" s="75"/>
      <c r="E15" s="75"/>
      <c r="F15" s="76"/>
      <c r="G15" s="75"/>
      <c r="H15" s="77"/>
      <c r="I15" s="75"/>
      <c r="J15" s="77"/>
    </row>
    <row r="16" spans="1:10" ht="12.75">
      <c r="B16" s="73"/>
      <c r="C16" s="74"/>
      <c r="D16" s="75"/>
      <c r="E16" s="75"/>
      <c r="F16" s="77"/>
      <c r="G16" s="75"/>
      <c r="H16" s="77"/>
      <c r="I16" s="75"/>
      <c r="J16" s="77"/>
    </row>
    <row r="17" spans="1:11" ht="12.75">
      <c r="A17" s="62"/>
      <c r="B17" s="73"/>
      <c r="C17" s="74"/>
      <c r="D17" s="75"/>
      <c r="E17" s="75"/>
      <c r="F17" s="77"/>
      <c r="G17" s="75"/>
      <c r="H17" s="77"/>
      <c r="I17" s="75"/>
      <c r="J17" s="77"/>
    </row>
    <row r="18" spans="1:11" ht="12.75">
      <c r="A18" s="62"/>
      <c r="B18" s="73"/>
      <c r="C18" s="74"/>
      <c r="D18" s="75"/>
      <c r="E18" s="75"/>
      <c r="F18" s="77"/>
      <c r="G18" s="75"/>
      <c r="H18" s="77"/>
      <c r="I18" s="75"/>
      <c r="J18" s="77"/>
    </row>
    <row r="19" spans="1:11" ht="12.75">
      <c r="A19" s="62"/>
      <c r="B19" s="73"/>
      <c r="C19" s="74"/>
      <c r="D19" s="75"/>
      <c r="E19" s="75"/>
      <c r="F19" s="77"/>
      <c r="G19" s="75"/>
      <c r="H19" s="77"/>
      <c r="I19" s="75"/>
      <c r="J19" s="77"/>
    </row>
    <row r="20" spans="1:11" ht="12.75">
      <c r="A20" s="62"/>
      <c r="B20" s="73"/>
      <c r="C20" s="74"/>
      <c r="D20" s="75"/>
      <c r="E20" s="75"/>
      <c r="F20" s="77"/>
      <c r="G20" s="75"/>
      <c r="H20" s="77"/>
      <c r="I20" s="75"/>
      <c r="J20" s="77"/>
    </row>
    <row r="21" spans="1:11" ht="12.75">
      <c r="A21" s="62"/>
      <c r="B21" s="73"/>
      <c r="C21" s="74"/>
      <c r="D21" s="75"/>
      <c r="E21" s="75"/>
      <c r="F21" s="77"/>
      <c r="G21" s="75"/>
      <c r="H21" s="77"/>
      <c r="I21" s="75"/>
      <c r="J21" s="77"/>
    </row>
    <row r="22" spans="1:11" ht="12.75">
      <c r="A22" s="81"/>
      <c r="B22" s="82"/>
      <c r="C22" s="83"/>
      <c r="D22" s="84"/>
      <c r="E22" s="84"/>
      <c r="F22" s="85"/>
      <c r="G22" s="84"/>
      <c r="H22" s="85"/>
      <c r="I22" s="84"/>
      <c r="J22" s="85"/>
      <c r="K22" s="86"/>
    </row>
    <row r="23" spans="1:11" ht="12.75">
      <c r="A23" s="62"/>
      <c r="B23" s="73"/>
      <c r="C23" s="74"/>
      <c r="D23" s="75"/>
      <c r="E23" s="75"/>
      <c r="F23" s="77"/>
      <c r="G23" s="75"/>
      <c r="H23" s="77"/>
      <c r="I23" s="75"/>
      <c r="J23" s="77"/>
    </row>
    <row r="24" spans="1:11" ht="12.75">
      <c r="A24" s="62"/>
      <c r="B24" s="73"/>
      <c r="C24" s="74"/>
      <c r="D24" s="75"/>
      <c r="E24" s="75"/>
      <c r="F24" s="77"/>
      <c r="G24" s="75"/>
      <c r="H24" s="77"/>
      <c r="I24" s="75"/>
      <c r="J24" s="77"/>
    </row>
    <row r="25" spans="1:11" ht="12.75">
      <c r="A25" s="62"/>
      <c r="B25" s="73"/>
      <c r="C25" s="74"/>
      <c r="D25" s="75"/>
      <c r="E25" s="75"/>
      <c r="F25" s="77"/>
      <c r="G25" s="75"/>
      <c r="H25" s="77"/>
      <c r="I25" s="75"/>
      <c r="J25" s="77"/>
    </row>
    <row r="26" spans="1:11" ht="12.75">
      <c r="A26" s="62"/>
      <c r="B26" s="73"/>
      <c r="C26" s="74"/>
      <c r="D26" s="75"/>
      <c r="E26" s="75"/>
      <c r="F26" s="77"/>
      <c r="G26" s="75"/>
      <c r="H26" s="77"/>
      <c r="I26" s="75"/>
      <c r="J26" s="77"/>
    </row>
    <row r="27" spans="1:11" ht="12.75">
      <c r="A27" s="62"/>
      <c r="B27" s="73"/>
      <c r="C27" s="74"/>
      <c r="D27" s="75"/>
      <c r="E27" s="75"/>
      <c r="F27" s="77"/>
      <c r="G27" s="75"/>
      <c r="H27" s="77"/>
      <c r="I27" s="75"/>
      <c r="J27" s="77"/>
    </row>
    <row r="28" spans="1:11" ht="12.75">
      <c r="A28" s="62"/>
      <c r="B28" s="73"/>
      <c r="C28" s="74"/>
      <c r="D28" s="75"/>
      <c r="E28" s="75"/>
      <c r="F28" s="77"/>
      <c r="G28" s="75"/>
      <c r="H28" s="77"/>
      <c r="I28" s="75"/>
      <c r="J28" s="77"/>
    </row>
    <row r="29" spans="1:11" ht="12.75">
      <c r="A29" s="62"/>
      <c r="B29" s="73"/>
      <c r="C29" s="74"/>
      <c r="D29" s="75"/>
      <c r="E29" s="75"/>
      <c r="F29" s="77"/>
      <c r="G29" s="75"/>
      <c r="H29" s="77"/>
      <c r="I29" s="75"/>
      <c r="J29" s="77"/>
    </row>
    <row r="30" spans="1:11" ht="12.75">
      <c r="A30" s="62"/>
      <c r="B30" s="73"/>
      <c r="C30" s="74"/>
      <c r="D30" s="75"/>
      <c r="E30" s="75"/>
      <c r="F30" s="77"/>
      <c r="G30" s="75"/>
      <c r="H30" s="77"/>
      <c r="I30" s="75"/>
      <c r="J30" s="77"/>
    </row>
    <row r="31" spans="1:11" ht="12.75">
      <c r="A31" s="62"/>
      <c r="B31" s="73"/>
      <c r="C31" s="74"/>
      <c r="D31" s="75"/>
      <c r="E31" s="75"/>
      <c r="F31" s="77"/>
      <c r="G31" s="75"/>
      <c r="H31" s="77"/>
      <c r="I31" s="75"/>
      <c r="J31" s="77"/>
    </row>
    <row r="32" spans="1:11" ht="12.75">
      <c r="A32" s="62"/>
      <c r="B32" s="73"/>
      <c r="C32" s="74"/>
      <c r="D32" s="75"/>
      <c r="E32" s="75"/>
      <c r="F32" s="77"/>
      <c r="G32" s="75"/>
      <c r="H32" s="77"/>
      <c r="I32" s="75"/>
      <c r="J32" s="77"/>
    </row>
    <row r="33" spans="1:10" ht="12.75">
      <c r="A33" s="62"/>
      <c r="B33" s="73"/>
      <c r="C33" s="74"/>
      <c r="D33" s="75"/>
      <c r="E33" s="75"/>
      <c r="F33" s="77"/>
      <c r="G33" s="75"/>
      <c r="H33" s="77"/>
      <c r="I33" s="75"/>
      <c r="J33" s="77"/>
    </row>
    <row r="34" spans="1:10" ht="12.75">
      <c r="A34" s="62"/>
      <c r="B34" s="73"/>
      <c r="C34" s="74"/>
      <c r="D34" s="75"/>
      <c r="E34" s="75"/>
      <c r="F34" s="77"/>
      <c r="G34" s="75"/>
      <c r="H34" s="77"/>
      <c r="I34" s="75"/>
      <c r="J34" s="77"/>
    </row>
    <row r="35" spans="1:10" ht="12.75">
      <c r="A35" s="62"/>
      <c r="B35" s="73"/>
      <c r="C35" s="74"/>
      <c r="D35" s="75"/>
      <c r="E35" s="75"/>
      <c r="F35" s="77"/>
      <c r="G35" s="75"/>
      <c r="H35" s="77"/>
      <c r="I35" s="75"/>
      <c r="J35" s="77"/>
    </row>
    <row r="36" spans="1:10" ht="12.75">
      <c r="A36" s="62"/>
      <c r="B36" s="73"/>
      <c r="C36" s="74"/>
      <c r="D36" s="75"/>
      <c r="E36" s="75"/>
      <c r="F36" s="77"/>
      <c r="G36" s="75"/>
      <c r="H36" s="77"/>
      <c r="I36" s="75"/>
      <c r="J36" s="77"/>
    </row>
    <row r="37" spans="1:10" ht="12.75">
      <c r="A37" s="62"/>
      <c r="B37" s="73"/>
      <c r="C37" s="74"/>
      <c r="D37" s="75"/>
      <c r="E37" s="75"/>
      <c r="F37" s="77"/>
      <c r="G37" s="75"/>
      <c r="H37" s="77"/>
      <c r="I37" s="75"/>
      <c r="J37" s="77"/>
    </row>
    <row r="38" spans="1:10" ht="12.75">
      <c r="A38" s="62" t="s">
        <v>239</v>
      </c>
      <c r="B38" s="73"/>
      <c r="C38" s="74"/>
      <c r="D38" s="75"/>
      <c r="E38" s="75"/>
      <c r="F38" s="77"/>
      <c r="G38" s="75"/>
      <c r="H38" s="77"/>
      <c r="I38" s="75"/>
      <c r="J38" s="77">
        <f>SUM(J9:J36)</f>
        <v>34470000</v>
      </c>
    </row>
    <row r="39" spans="1:10" ht="12.75">
      <c r="A39" s="63"/>
      <c r="B39" s="73"/>
      <c r="C39" s="74"/>
      <c r="D39" s="75"/>
      <c r="E39" s="75"/>
      <c r="F39" s="77"/>
      <c r="G39" s="75"/>
      <c r="H39" s="77"/>
      <c r="I39" s="75"/>
      <c r="J39" s="77"/>
    </row>
    <row r="40" spans="1:10" ht="12.75">
      <c r="A40" s="63"/>
      <c r="B40" s="87"/>
      <c r="C40" s="88"/>
      <c r="D40" s="89"/>
      <c r="E40" s="89"/>
      <c r="F40" s="90"/>
      <c r="G40" s="89"/>
      <c r="H40" s="90"/>
      <c r="I40" s="89"/>
      <c r="J40" s="90"/>
    </row>
    <row r="41" spans="1:10" ht="12.75"/>
    <row r="42" spans="1:10" ht="12.75"/>
    <row r="43" spans="1:10" ht="12.75">
      <c r="A43" s="27" t="s">
        <v>240</v>
      </c>
      <c r="B43" s="27"/>
      <c r="C43" s="27"/>
      <c r="D43" s="27"/>
      <c r="E43" s="27"/>
      <c r="F43" s="27"/>
    </row>
    <row r="44" spans="1:10" ht="12.75"/>
    <row r="45" spans="1:10" ht="12.75"/>
    <row r="46" spans="1:10" ht="12.75">
      <c r="A46" s="62" t="s">
        <v>224</v>
      </c>
      <c r="B46" s="62" t="s">
        <v>1</v>
      </c>
      <c r="C46" s="62"/>
      <c r="D46" s="62"/>
      <c r="E46" s="62"/>
      <c r="F46" s="62"/>
      <c r="G46" s="63" t="s">
        <v>119</v>
      </c>
      <c r="H46" s="62" t="s">
        <v>241</v>
      </c>
      <c r="I46" s="62" t="s">
        <v>242</v>
      </c>
      <c r="J46" s="63"/>
    </row>
    <row r="47" spans="1:10" ht="12.75">
      <c r="A47" s="62" t="s">
        <v>227</v>
      </c>
      <c r="B47" s="65">
        <v>45959</v>
      </c>
      <c r="C47" s="62"/>
      <c r="D47" s="62"/>
      <c r="E47" s="62"/>
      <c r="F47" s="62"/>
      <c r="G47" s="63"/>
      <c r="H47" s="62" t="s">
        <v>228</v>
      </c>
      <c r="I47" s="62" t="s">
        <v>142</v>
      </c>
      <c r="J47" s="63"/>
    </row>
    <row r="48" spans="1:10" ht="12.75">
      <c r="A48" s="62"/>
      <c r="B48" s="62"/>
      <c r="C48" s="62"/>
      <c r="D48" s="62"/>
      <c r="E48" s="62"/>
      <c r="F48" s="62"/>
      <c r="G48" s="63"/>
      <c r="H48" s="63"/>
      <c r="I48" s="63"/>
      <c r="J48" s="63"/>
    </row>
    <row r="49" spans="1:10" ht="12.75">
      <c r="A49" s="62"/>
      <c r="B49" s="67" t="s">
        <v>229</v>
      </c>
      <c r="C49" s="67" t="s">
        <v>230</v>
      </c>
      <c r="D49" s="67" t="s">
        <v>231</v>
      </c>
      <c r="E49" s="67" t="s">
        <v>232</v>
      </c>
      <c r="F49" s="67" t="s">
        <v>233</v>
      </c>
      <c r="G49" s="67" t="s">
        <v>234</v>
      </c>
      <c r="H49" s="67" t="s">
        <v>235</v>
      </c>
      <c r="I49" s="67" t="s">
        <v>236</v>
      </c>
      <c r="J49" s="67" t="s">
        <v>235</v>
      </c>
    </row>
    <row r="50" spans="1:10" ht="12.75">
      <c r="A50" s="62"/>
      <c r="B50" s="92"/>
      <c r="C50" s="69"/>
      <c r="D50" s="70"/>
      <c r="E50" s="70"/>
      <c r="F50" s="71"/>
      <c r="G50" s="70"/>
      <c r="H50" s="71"/>
      <c r="I50" s="100"/>
      <c r="J50" s="96"/>
    </row>
    <row r="51" spans="1:10" ht="12.75">
      <c r="B51" s="93">
        <v>2</v>
      </c>
      <c r="C51" s="32" t="s">
        <v>145</v>
      </c>
      <c r="D51" s="75" t="s">
        <v>238</v>
      </c>
      <c r="E51" s="75"/>
      <c r="F51" s="76">
        <v>45959</v>
      </c>
      <c r="G51" s="75"/>
      <c r="H51" s="77"/>
      <c r="I51" s="101" t="s">
        <v>117</v>
      </c>
      <c r="J51" s="97">
        <v>11150000</v>
      </c>
    </row>
    <row r="52" spans="1:10" ht="12.75">
      <c r="B52" s="93"/>
      <c r="C52" s="32"/>
      <c r="D52" s="75"/>
      <c r="E52" s="75"/>
      <c r="F52" s="76"/>
      <c r="G52" s="75"/>
      <c r="H52" s="77"/>
      <c r="I52" s="101"/>
      <c r="J52" s="97"/>
    </row>
    <row r="53" spans="1:10" ht="12.75">
      <c r="B53" s="93">
        <v>3</v>
      </c>
      <c r="C53" s="32" t="s">
        <v>243</v>
      </c>
      <c r="D53" s="75" t="s">
        <v>238</v>
      </c>
      <c r="E53" s="75"/>
      <c r="F53" s="76">
        <v>45959</v>
      </c>
      <c r="G53" s="75"/>
      <c r="H53" s="77"/>
      <c r="I53" s="101" t="s">
        <v>117</v>
      </c>
      <c r="J53" s="97">
        <v>100000</v>
      </c>
    </row>
    <row r="54" spans="1:10" ht="12.75">
      <c r="B54" s="93"/>
      <c r="C54" s="32"/>
      <c r="D54" s="75"/>
      <c r="E54" s="75"/>
      <c r="F54" s="91"/>
      <c r="G54" s="75"/>
      <c r="H54" s="77"/>
      <c r="I54" s="101"/>
      <c r="J54" s="97"/>
    </row>
    <row r="55" spans="1:10" ht="12.75">
      <c r="A55" s="62"/>
      <c r="B55" s="93">
        <v>4</v>
      </c>
      <c r="C55" s="32" t="s">
        <v>244</v>
      </c>
      <c r="D55" s="75" t="s">
        <v>238</v>
      </c>
      <c r="E55" s="75"/>
      <c r="F55" s="76">
        <v>45959</v>
      </c>
      <c r="G55" s="75"/>
      <c r="H55" s="77"/>
      <c r="I55" s="101" t="s">
        <v>117</v>
      </c>
      <c r="J55" s="97">
        <v>30000</v>
      </c>
    </row>
    <row r="56" spans="1:10" ht="12.75">
      <c r="A56" s="62"/>
      <c r="B56" s="93"/>
      <c r="C56" s="32"/>
      <c r="D56" s="75"/>
      <c r="E56" s="75"/>
      <c r="F56" s="76"/>
      <c r="G56" s="75"/>
      <c r="H56" s="77"/>
      <c r="I56" s="101"/>
      <c r="J56" s="97"/>
    </row>
    <row r="57" spans="1:10" ht="12.75">
      <c r="A57" s="62"/>
      <c r="B57" s="93">
        <v>5</v>
      </c>
      <c r="C57" s="32" t="s">
        <v>245</v>
      </c>
      <c r="D57" s="75" t="s">
        <v>238</v>
      </c>
      <c r="E57" s="75"/>
      <c r="F57" s="76">
        <v>45959</v>
      </c>
      <c r="G57" s="75"/>
      <c r="H57" s="77"/>
      <c r="I57" s="101" t="s">
        <v>117</v>
      </c>
      <c r="J57" s="97">
        <v>30000</v>
      </c>
    </row>
    <row r="58" spans="1:10" ht="12.75">
      <c r="A58" s="62"/>
      <c r="B58" s="93"/>
      <c r="C58" s="32"/>
      <c r="D58" s="75"/>
      <c r="E58" s="75"/>
      <c r="F58" s="91"/>
      <c r="G58" s="75"/>
      <c r="H58" s="77"/>
      <c r="I58" s="101"/>
      <c r="J58" s="97"/>
    </row>
    <row r="59" spans="1:10" ht="12.75">
      <c r="B59" s="93">
        <v>6</v>
      </c>
      <c r="C59" s="32" t="s">
        <v>246</v>
      </c>
      <c r="D59" s="75" t="s">
        <v>238</v>
      </c>
      <c r="E59" s="75"/>
      <c r="F59" s="76">
        <v>45959</v>
      </c>
      <c r="G59" s="75"/>
      <c r="H59" s="77"/>
      <c r="I59" s="101" t="s">
        <v>117</v>
      </c>
      <c r="J59" s="97">
        <v>30000</v>
      </c>
    </row>
    <row r="60" spans="1:10" ht="12.75">
      <c r="B60" s="93"/>
      <c r="C60" s="32"/>
      <c r="D60" s="75"/>
      <c r="E60" s="75"/>
      <c r="F60" s="76"/>
      <c r="G60" s="75"/>
      <c r="H60" s="77"/>
      <c r="I60" s="101"/>
      <c r="J60" s="97"/>
    </row>
    <row r="61" spans="1:10" ht="12.75">
      <c r="B61" s="93">
        <v>7</v>
      </c>
      <c r="C61" s="32" t="s">
        <v>247</v>
      </c>
      <c r="D61" s="75" t="s">
        <v>238</v>
      </c>
      <c r="E61" s="75"/>
      <c r="F61" s="76">
        <v>45959</v>
      </c>
      <c r="G61" s="75"/>
      <c r="H61" s="77"/>
      <c r="I61" s="101" t="s">
        <v>117</v>
      </c>
      <c r="J61" s="97">
        <v>50000</v>
      </c>
    </row>
    <row r="62" spans="1:10" ht="12.75">
      <c r="B62" s="93"/>
      <c r="C62" s="32"/>
      <c r="D62" s="75"/>
      <c r="E62" s="75"/>
      <c r="F62" s="91"/>
      <c r="G62" s="75"/>
      <c r="H62" s="77"/>
      <c r="I62" s="101"/>
      <c r="J62" s="97"/>
    </row>
    <row r="63" spans="1:10" ht="12.75">
      <c r="A63" s="62"/>
      <c r="B63" s="93">
        <v>8</v>
      </c>
      <c r="C63" s="32" t="s">
        <v>248</v>
      </c>
      <c r="D63" s="75" t="s">
        <v>238</v>
      </c>
      <c r="E63" s="75"/>
      <c r="F63" s="76">
        <v>45959</v>
      </c>
      <c r="G63" s="75"/>
      <c r="H63" s="77"/>
      <c r="I63" s="101" t="s">
        <v>117</v>
      </c>
      <c r="J63" s="97">
        <v>50000</v>
      </c>
    </row>
    <row r="64" spans="1:10" ht="12.75">
      <c r="A64" s="62"/>
      <c r="B64" s="93"/>
      <c r="C64" s="32"/>
      <c r="D64" s="75"/>
      <c r="E64" s="75"/>
      <c r="F64" s="76"/>
      <c r="G64" s="75"/>
      <c r="H64" s="77"/>
      <c r="I64" s="101"/>
      <c r="J64" s="97"/>
    </row>
    <row r="65" spans="1:10" ht="12.75">
      <c r="A65" s="62"/>
      <c r="B65" s="93">
        <v>9</v>
      </c>
      <c r="C65" s="32" t="s">
        <v>249</v>
      </c>
      <c r="D65" s="75" t="s">
        <v>238</v>
      </c>
      <c r="E65" s="75"/>
      <c r="F65" s="76">
        <v>45959</v>
      </c>
      <c r="G65" s="75"/>
      <c r="H65" s="77"/>
      <c r="I65" s="101" t="s">
        <v>117</v>
      </c>
      <c r="J65" s="97">
        <v>50000</v>
      </c>
    </row>
    <row r="66" spans="1:10" ht="12.75">
      <c r="B66" s="94" t="s">
        <v>119</v>
      </c>
      <c r="C66" s="32" t="s">
        <v>119</v>
      </c>
      <c r="D66" s="75" t="s">
        <v>119</v>
      </c>
      <c r="E66" s="75"/>
      <c r="F66" s="76"/>
      <c r="G66" s="75"/>
      <c r="H66" s="77"/>
      <c r="I66" s="101"/>
      <c r="J66" s="98" t="s">
        <v>119</v>
      </c>
    </row>
    <row r="67" spans="1:10" ht="12.75">
      <c r="A67" s="62"/>
      <c r="B67" s="94"/>
      <c r="C67" s="74"/>
      <c r="D67" s="75" t="s">
        <v>250</v>
      </c>
      <c r="E67" s="75"/>
      <c r="F67" s="77"/>
      <c r="G67" s="75"/>
      <c r="H67" s="77"/>
      <c r="I67" s="101"/>
      <c r="J67" s="98"/>
    </row>
    <row r="68" spans="1:10" ht="12.75">
      <c r="A68" s="62"/>
      <c r="B68" s="94"/>
      <c r="C68" s="74"/>
      <c r="D68" s="75"/>
      <c r="E68" s="75"/>
      <c r="F68" s="77"/>
      <c r="G68" s="75"/>
      <c r="H68" s="77"/>
      <c r="I68" s="101"/>
      <c r="J68" s="98"/>
    </row>
    <row r="69" spans="1:10" ht="12.75">
      <c r="A69" s="62"/>
      <c r="B69" s="94"/>
      <c r="C69" s="74"/>
      <c r="D69" s="75"/>
      <c r="E69" s="75"/>
      <c r="F69" s="77"/>
      <c r="G69" s="75"/>
      <c r="H69" s="77"/>
      <c r="I69" s="101"/>
      <c r="J69" s="98"/>
    </row>
    <row r="70" spans="1:10" ht="12.75">
      <c r="A70" s="62"/>
      <c r="B70" s="94"/>
      <c r="C70" s="74"/>
      <c r="D70" s="75"/>
      <c r="E70" s="75"/>
      <c r="F70" s="77"/>
      <c r="G70" s="75"/>
      <c r="H70" s="77"/>
      <c r="I70" s="101"/>
      <c r="J70" s="98"/>
    </row>
    <row r="71" spans="1:10" ht="12.75">
      <c r="A71" s="62"/>
      <c r="B71" s="94"/>
      <c r="C71" s="74"/>
      <c r="D71" s="75"/>
      <c r="E71" s="75"/>
      <c r="F71" s="77"/>
      <c r="G71" s="75"/>
      <c r="H71" s="77"/>
      <c r="I71" s="101"/>
      <c r="J71" s="98"/>
    </row>
    <row r="72" spans="1:10" ht="12.75">
      <c r="A72" s="62"/>
      <c r="B72" s="94"/>
      <c r="C72" s="74"/>
      <c r="D72" s="75"/>
      <c r="E72" s="75"/>
      <c r="F72" s="77"/>
      <c r="G72" s="75"/>
      <c r="H72" s="77"/>
      <c r="I72" s="101"/>
      <c r="J72" s="98"/>
    </row>
    <row r="73" spans="1:10" ht="12.75">
      <c r="A73" s="62"/>
      <c r="B73" s="94"/>
      <c r="C73" s="74"/>
      <c r="D73" s="75"/>
      <c r="E73" s="75"/>
      <c r="F73" s="77"/>
      <c r="G73" s="75"/>
      <c r="H73" s="77"/>
      <c r="I73" s="101"/>
      <c r="J73" s="98"/>
    </row>
    <row r="74" spans="1:10" ht="12.75">
      <c r="A74" s="62"/>
      <c r="B74" s="94"/>
      <c r="C74" s="74"/>
      <c r="D74" s="75"/>
      <c r="E74" s="75"/>
      <c r="F74" s="77"/>
      <c r="G74" s="75"/>
      <c r="H74" s="77"/>
      <c r="I74" s="101"/>
      <c r="J74" s="98"/>
    </row>
    <row r="75" spans="1:10" ht="12.75">
      <c r="A75" s="62"/>
      <c r="B75" s="94"/>
      <c r="C75" s="74"/>
      <c r="D75" s="75"/>
      <c r="E75" s="75"/>
      <c r="F75" s="77"/>
      <c r="G75" s="75"/>
      <c r="H75" s="77"/>
      <c r="I75" s="101"/>
      <c r="J75" s="98"/>
    </row>
    <row r="76" spans="1:10" ht="12.75">
      <c r="A76" s="62"/>
      <c r="B76" s="94"/>
      <c r="C76" s="74"/>
      <c r="D76" s="75"/>
      <c r="E76" s="75"/>
      <c r="F76" s="77"/>
      <c r="G76" s="75"/>
      <c r="H76" s="77"/>
      <c r="I76" s="101"/>
      <c r="J76" s="98"/>
    </row>
    <row r="77" spans="1:10" ht="12.75">
      <c r="A77" s="62" t="s">
        <v>251</v>
      </c>
      <c r="B77" s="94"/>
      <c r="C77" s="74"/>
      <c r="D77" s="75"/>
      <c r="E77" s="75"/>
      <c r="F77" s="77"/>
      <c r="G77" s="75"/>
      <c r="H77" s="77"/>
      <c r="I77" s="101"/>
      <c r="J77" s="98">
        <f>SUM(J51:J76)</f>
        <v>11490000</v>
      </c>
    </row>
    <row r="78" spans="1:10" ht="12.75">
      <c r="A78" s="63"/>
      <c r="B78" s="94"/>
      <c r="C78" s="74"/>
      <c r="D78" s="75"/>
      <c r="E78" s="75"/>
      <c r="F78" s="77"/>
      <c r="G78" s="75"/>
      <c r="H78" s="77"/>
      <c r="I78" s="101"/>
      <c r="J78" s="98"/>
    </row>
    <row r="79" spans="1:10" ht="12.75">
      <c r="A79" s="63"/>
      <c r="B79" s="95"/>
      <c r="C79" s="88"/>
      <c r="D79" s="89"/>
      <c r="E79" s="89"/>
      <c r="F79" s="90"/>
      <c r="G79" s="89"/>
      <c r="H79" s="90"/>
      <c r="I79" s="102"/>
      <c r="J79" s="99"/>
    </row>
    <row r="80" spans="1:10" ht="12.75"/>
    <row r="81" spans="1:10" ht="12.75"/>
    <row r="82" spans="1:10" ht="12.75">
      <c r="A82" s="27" t="s">
        <v>223</v>
      </c>
      <c r="B82" s="27"/>
      <c r="C82" s="27"/>
      <c r="D82" s="27"/>
      <c r="E82" s="27"/>
      <c r="F82" s="27"/>
    </row>
    <row r="83" spans="1:10" ht="12.75">
      <c r="F83" s="36" t="s">
        <v>119</v>
      </c>
    </row>
    <row r="84" spans="1:10" ht="12.75"/>
    <row r="85" spans="1:10" ht="12.75">
      <c r="A85" s="62" t="s">
        <v>224</v>
      </c>
      <c r="B85" s="62" t="s">
        <v>1</v>
      </c>
      <c r="C85" s="62"/>
      <c r="D85" s="62"/>
      <c r="E85" s="62"/>
      <c r="F85" s="62"/>
      <c r="G85" s="63" t="s">
        <v>119</v>
      </c>
      <c r="H85" s="62" t="s">
        <v>225</v>
      </c>
      <c r="I85" s="64" t="s">
        <v>252</v>
      </c>
      <c r="J85" s="63"/>
    </row>
    <row r="86" spans="1:10" ht="12.75">
      <c r="A86" s="62" t="s">
        <v>227</v>
      </c>
      <c r="B86" s="65">
        <v>45959</v>
      </c>
      <c r="C86" s="62"/>
      <c r="D86" s="62"/>
      <c r="E86" s="62"/>
      <c r="F86" s="62"/>
      <c r="G86" s="63"/>
      <c r="H86" s="62" t="s">
        <v>228</v>
      </c>
      <c r="I86" s="66" t="s">
        <v>175</v>
      </c>
      <c r="J86" s="63"/>
    </row>
    <row r="87" spans="1:10" ht="12.75">
      <c r="A87" s="62"/>
      <c r="B87" s="62"/>
      <c r="C87" s="62"/>
      <c r="D87" s="62"/>
      <c r="E87" s="62"/>
      <c r="F87" s="62"/>
      <c r="G87" s="63"/>
      <c r="H87" s="63"/>
      <c r="I87" s="63"/>
      <c r="J87" s="63"/>
    </row>
    <row r="88" spans="1:10" ht="12.75">
      <c r="A88" s="62"/>
      <c r="B88" s="67" t="s">
        <v>229</v>
      </c>
      <c r="C88" s="67" t="s">
        <v>230</v>
      </c>
      <c r="D88" s="67" t="s">
        <v>231</v>
      </c>
      <c r="E88" s="67" t="s">
        <v>232</v>
      </c>
      <c r="F88" s="67" t="s">
        <v>233</v>
      </c>
      <c r="G88" s="67" t="s">
        <v>234</v>
      </c>
      <c r="H88" s="67" t="s">
        <v>235</v>
      </c>
      <c r="I88" s="67" t="s">
        <v>236</v>
      </c>
      <c r="J88" s="67" t="s">
        <v>235</v>
      </c>
    </row>
    <row r="89" spans="1:10" ht="12.75">
      <c r="A89" s="62"/>
      <c r="B89" s="68"/>
      <c r="C89" s="69"/>
      <c r="D89" s="70"/>
      <c r="E89" s="70"/>
      <c r="F89" s="71"/>
      <c r="G89" s="70"/>
      <c r="H89" s="71"/>
      <c r="I89" s="70"/>
      <c r="J89" s="72"/>
    </row>
    <row r="90" spans="1:10" ht="12.75">
      <c r="B90" s="73">
        <v>2</v>
      </c>
      <c r="C90" s="74" t="s">
        <v>145</v>
      </c>
      <c r="D90" s="75" t="s">
        <v>238</v>
      </c>
      <c r="E90" s="75"/>
      <c r="F90" s="76">
        <v>45959</v>
      </c>
      <c r="G90" s="75"/>
      <c r="H90" s="77"/>
      <c r="I90" s="75" t="s">
        <v>117</v>
      </c>
      <c r="J90" s="77">
        <v>5447000</v>
      </c>
    </row>
    <row r="91" spans="1:10" ht="12.75">
      <c r="A91" s="62"/>
      <c r="B91" s="73"/>
      <c r="C91" s="74"/>
      <c r="D91" s="75"/>
      <c r="E91" s="75"/>
      <c r="F91" s="77"/>
      <c r="G91" s="75"/>
      <c r="H91" s="77"/>
      <c r="I91" s="75"/>
      <c r="J91" s="77"/>
    </row>
    <row r="92" spans="1:10" ht="35.25">
      <c r="B92" s="78">
        <v>10</v>
      </c>
      <c r="C92" s="79" t="s">
        <v>253</v>
      </c>
      <c r="D92" s="75" t="s">
        <v>238</v>
      </c>
      <c r="E92" s="75" t="s">
        <v>119</v>
      </c>
      <c r="F92" s="76">
        <v>45959</v>
      </c>
      <c r="G92" s="75" t="s">
        <v>119</v>
      </c>
      <c r="H92" s="77" t="s">
        <v>119</v>
      </c>
      <c r="I92" s="75" t="s">
        <v>117</v>
      </c>
      <c r="J92" s="77">
        <v>3447000</v>
      </c>
    </row>
    <row r="93" spans="1:10" ht="12.75">
      <c r="B93" s="78"/>
      <c r="C93" s="31"/>
      <c r="D93" s="75"/>
      <c r="E93" s="75"/>
      <c r="F93" s="77"/>
      <c r="G93" s="75"/>
      <c r="H93" s="77"/>
      <c r="I93" s="75"/>
      <c r="J93" s="77"/>
    </row>
    <row r="94" spans="1:10" ht="12.75">
      <c r="A94" s="62"/>
      <c r="B94" s="78" t="s">
        <v>119</v>
      </c>
      <c r="C94" s="79" t="s">
        <v>119</v>
      </c>
      <c r="D94" s="75" t="s">
        <v>119</v>
      </c>
      <c r="E94" s="75" t="s">
        <v>119</v>
      </c>
      <c r="F94" s="76" t="s">
        <v>119</v>
      </c>
      <c r="G94" s="75" t="s">
        <v>119</v>
      </c>
      <c r="H94" s="77" t="s">
        <v>119</v>
      </c>
      <c r="I94" s="75" t="s">
        <v>119</v>
      </c>
      <c r="J94" s="77" t="s">
        <v>119</v>
      </c>
    </row>
    <row r="95" spans="1:10" ht="12.75">
      <c r="A95" s="62"/>
      <c r="B95" s="78"/>
      <c r="C95" s="31"/>
      <c r="D95" s="75"/>
      <c r="E95" s="75"/>
      <c r="F95" s="77"/>
      <c r="G95" s="75"/>
      <c r="H95" s="77"/>
      <c r="I95" s="75"/>
      <c r="J95" s="77"/>
    </row>
    <row r="96" spans="1:10" ht="12.75">
      <c r="A96" s="62"/>
      <c r="B96" s="80"/>
      <c r="C96" s="32"/>
      <c r="D96" s="75"/>
      <c r="E96" s="75"/>
      <c r="F96" s="76"/>
      <c r="G96" s="75"/>
      <c r="H96" s="77"/>
      <c r="I96" s="75"/>
      <c r="J96" s="77"/>
    </row>
    <row r="97" spans="1:11" ht="12.75">
      <c r="B97" s="73"/>
      <c r="C97" s="74"/>
      <c r="D97" s="75"/>
      <c r="E97" s="75"/>
      <c r="F97" s="77"/>
      <c r="G97" s="75"/>
      <c r="H97" s="77"/>
      <c r="I97" s="75"/>
      <c r="J97" s="77"/>
    </row>
    <row r="98" spans="1:11" ht="12.75">
      <c r="A98" s="62"/>
      <c r="B98" s="73"/>
      <c r="C98" s="74"/>
      <c r="D98" s="75"/>
      <c r="E98" s="75"/>
      <c r="F98" s="77"/>
      <c r="G98" s="75"/>
      <c r="H98" s="77"/>
      <c r="I98" s="75"/>
      <c r="J98" s="77"/>
    </row>
    <row r="99" spans="1:11" ht="12.75">
      <c r="A99" s="62"/>
      <c r="B99" s="73"/>
      <c r="C99" s="74"/>
      <c r="D99" s="75"/>
      <c r="E99" s="75"/>
      <c r="F99" s="77"/>
      <c r="G99" s="75"/>
      <c r="H99" s="77"/>
      <c r="I99" s="75"/>
      <c r="J99" s="77"/>
    </row>
    <row r="100" spans="1:11" ht="12.75">
      <c r="A100" s="62"/>
      <c r="B100" s="73"/>
      <c r="C100" s="74"/>
      <c r="D100" s="75"/>
      <c r="E100" s="75"/>
      <c r="F100" s="77"/>
      <c r="G100" s="75"/>
      <c r="H100" s="77"/>
      <c r="I100" s="75"/>
      <c r="J100" s="77"/>
    </row>
    <row r="101" spans="1:11" ht="12.75">
      <c r="A101" s="62"/>
      <c r="B101" s="73"/>
      <c r="C101" s="74"/>
      <c r="D101" s="75"/>
      <c r="E101" s="75"/>
      <c r="F101" s="77"/>
      <c r="G101" s="75"/>
      <c r="H101" s="77"/>
      <c r="I101" s="75"/>
      <c r="J101" s="77"/>
    </row>
    <row r="102" spans="1:11" ht="12.75">
      <c r="A102" s="62"/>
      <c r="B102" s="73"/>
      <c r="C102" s="74"/>
      <c r="D102" s="75"/>
      <c r="E102" s="75"/>
      <c r="F102" s="77"/>
      <c r="G102" s="75"/>
      <c r="H102" s="77"/>
      <c r="I102" s="75"/>
      <c r="J102" s="77"/>
    </row>
    <row r="103" spans="1:11" ht="12.75">
      <c r="A103" s="81"/>
      <c r="B103" s="82"/>
      <c r="C103" s="83"/>
      <c r="D103" s="84"/>
      <c r="E103" s="84"/>
      <c r="F103" s="85"/>
      <c r="G103" s="84"/>
      <c r="H103" s="85"/>
      <c r="I103" s="84"/>
      <c r="J103" s="85"/>
      <c r="K103" s="86"/>
    </row>
    <row r="104" spans="1:11" ht="12.75">
      <c r="A104" s="62"/>
      <c r="B104" s="73"/>
      <c r="C104" s="74"/>
      <c r="D104" s="75"/>
      <c r="E104" s="75"/>
      <c r="F104" s="77"/>
      <c r="G104" s="75"/>
      <c r="H104" s="77"/>
      <c r="I104" s="75"/>
      <c r="J104" s="77"/>
    </row>
    <row r="105" spans="1:11" ht="12.75">
      <c r="A105" s="62"/>
      <c r="B105" s="73"/>
      <c r="C105" s="74"/>
      <c r="D105" s="75"/>
      <c r="E105" s="75"/>
      <c r="F105" s="77"/>
      <c r="G105" s="75"/>
      <c r="H105" s="77"/>
      <c r="I105" s="75"/>
      <c r="J105" s="77"/>
    </row>
    <row r="106" spans="1:11" ht="12.75">
      <c r="A106" s="62"/>
      <c r="B106" s="73"/>
      <c r="C106" s="74"/>
      <c r="D106" s="75"/>
      <c r="E106" s="75"/>
      <c r="F106" s="77"/>
      <c r="G106" s="75"/>
      <c r="H106" s="77"/>
      <c r="I106" s="75"/>
      <c r="J106" s="77"/>
    </row>
    <row r="107" spans="1:11" ht="12.75">
      <c r="A107" s="62"/>
      <c r="B107" s="73"/>
      <c r="C107" s="74"/>
      <c r="D107" s="75"/>
      <c r="E107" s="75"/>
      <c r="F107" s="77"/>
      <c r="G107" s="75"/>
      <c r="H107" s="77"/>
      <c r="I107" s="75"/>
      <c r="J107" s="77"/>
    </row>
    <row r="108" spans="1:11" ht="12.75">
      <c r="A108" s="62"/>
      <c r="B108" s="73"/>
      <c r="C108" s="74"/>
      <c r="D108" s="75"/>
      <c r="E108" s="75"/>
      <c r="F108" s="77"/>
      <c r="G108" s="75"/>
      <c r="H108" s="77"/>
      <c r="I108" s="75"/>
      <c r="J108" s="77"/>
    </row>
    <row r="109" spans="1:11" ht="12.75">
      <c r="A109" s="62"/>
      <c r="B109" s="73"/>
      <c r="C109" s="74"/>
      <c r="D109" s="75"/>
      <c r="E109" s="75"/>
      <c r="F109" s="77"/>
      <c r="G109" s="75"/>
      <c r="H109" s="77"/>
      <c r="I109" s="75"/>
      <c r="J109" s="77"/>
    </row>
    <row r="110" spans="1:11" ht="12.75">
      <c r="A110" s="62"/>
      <c r="B110" s="73"/>
      <c r="C110" s="74"/>
      <c r="D110" s="75"/>
      <c r="E110" s="75"/>
      <c r="F110" s="77"/>
      <c r="G110" s="75"/>
      <c r="H110" s="77"/>
      <c r="I110" s="75"/>
      <c r="J110" s="77"/>
    </row>
    <row r="111" spans="1:11" ht="12.75">
      <c r="A111" s="62"/>
      <c r="B111" s="73"/>
      <c r="C111" s="74"/>
      <c r="D111" s="75"/>
      <c r="E111" s="75"/>
      <c r="F111" s="77"/>
      <c r="G111" s="75"/>
      <c r="H111" s="77"/>
      <c r="I111" s="75"/>
      <c r="J111" s="77"/>
    </row>
    <row r="112" spans="1:11" ht="12.75">
      <c r="A112" s="62"/>
      <c r="B112" s="73"/>
      <c r="C112" s="74"/>
      <c r="D112" s="75"/>
      <c r="E112" s="75"/>
      <c r="F112" s="77"/>
      <c r="G112" s="75"/>
      <c r="H112" s="77"/>
      <c r="I112" s="75"/>
      <c r="J112" s="77"/>
    </row>
    <row r="113" spans="1:10" ht="12.75">
      <c r="A113" s="62"/>
      <c r="B113" s="73"/>
      <c r="C113" s="74"/>
      <c r="D113" s="75"/>
      <c r="E113" s="75"/>
      <c r="F113" s="77"/>
      <c r="G113" s="75"/>
      <c r="H113" s="77"/>
      <c r="I113" s="75"/>
      <c r="J113" s="77"/>
    </row>
    <row r="114" spans="1:10" ht="12.75">
      <c r="A114" s="62"/>
      <c r="B114" s="73"/>
      <c r="C114" s="74"/>
      <c r="D114" s="75"/>
      <c r="E114" s="75"/>
      <c r="F114" s="77"/>
      <c r="G114" s="75"/>
      <c r="H114" s="77"/>
      <c r="I114" s="75"/>
      <c r="J114" s="77"/>
    </row>
    <row r="115" spans="1:10" ht="12.75">
      <c r="A115" s="62"/>
      <c r="B115" s="73"/>
      <c r="C115" s="74"/>
      <c r="D115" s="75"/>
      <c r="E115" s="75"/>
      <c r="F115" s="77"/>
      <c r="G115" s="75"/>
      <c r="H115" s="77"/>
      <c r="I115" s="75"/>
      <c r="J115" s="77"/>
    </row>
    <row r="116" spans="1:10" ht="12.75">
      <c r="A116" s="62"/>
      <c r="B116" s="73"/>
      <c r="C116" s="74"/>
      <c r="D116" s="75"/>
      <c r="E116" s="75"/>
      <c r="F116" s="77"/>
      <c r="G116" s="75"/>
      <c r="H116" s="77"/>
      <c r="I116" s="75"/>
      <c r="J116" s="77"/>
    </row>
    <row r="117" spans="1:10" ht="12.75">
      <c r="A117" s="62"/>
      <c r="B117" s="73"/>
      <c r="C117" s="74"/>
      <c r="D117" s="75"/>
      <c r="E117" s="75"/>
      <c r="F117" s="77"/>
      <c r="G117" s="75"/>
      <c r="H117" s="77"/>
      <c r="I117" s="75"/>
      <c r="J117" s="77"/>
    </row>
    <row r="118" spans="1:10" ht="12.75">
      <c r="A118" s="62"/>
      <c r="B118" s="73"/>
      <c r="C118" s="74"/>
      <c r="D118" s="75"/>
      <c r="E118" s="75"/>
      <c r="F118" s="77"/>
      <c r="G118" s="75"/>
      <c r="H118" s="77"/>
      <c r="I118" s="75"/>
      <c r="J118" s="77"/>
    </row>
    <row r="119" spans="1:10" ht="12.75">
      <c r="A119" s="62" t="s">
        <v>254</v>
      </c>
      <c r="B119" s="73"/>
      <c r="C119" s="74"/>
      <c r="D119" s="75"/>
      <c r="E119" s="75"/>
      <c r="F119" s="77"/>
      <c r="G119" s="75"/>
      <c r="H119" s="77"/>
      <c r="I119" s="75"/>
      <c r="J119" s="77">
        <f>SUM(J90:J117)</f>
        <v>8894000</v>
      </c>
    </row>
    <row r="120" spans="1:10" ht="12.75">
      <c r="A120" s="63"/>
      <c r="B120" s="73"/>
      <c r="C120" s="74"/>
      <c r="D120" s="75"/>
      <c r="E120" s="75"/>
      <c r="F120" s="77"/>
      <c r="G120" s="75"/>
      <c r="H120" s="77"/>
      <c r="I120" s="75"/>
      <c r="J120" s="77"/>
    </row>
    <row r="121" spans="1:10" ht="12.75">
      <c r="A121" s="63"/>
      <c r="B121" s="87"/>
      <c r="C121" s="88"/>
      <c r="D121" s="89"/>
      <c r="E121" s="89"/>
      <c r="F121" s="90"/>
      <c r="G121" s="89"/>
      <c r="H121" s="90"/>
      <c r="I121" s="89"/>
      <c r="J121" s="90"/>
    </row>
    <row r="122" spans="1:10" ht="12.75"/>
    <row r="123" spans="1:10" ht="12.75"/>
    <row r="124" spans="1:10" ht="12.75"/>
    <row r="125" spans="1:10" ht="12.75">
      <c r="A125" s="27" t="s">
        <v>223</v>
      </c>
      <c r="B125" s="27"/>
      <c r="C125" s="27"/>
      <c r="D125" s="27"/>
      <c r="E125" s="27"/>
      <c r="F125" s="27"/>
    </row>
    <row r="126" spans="1:10" ht="12.75">
      <c r="F126" s="36" t="s">
        <v>119</v>
      </c>
    </row>
    <row r="127" spans="1:10" ht="12.75"/>
    <row r="128" spans="1:10" ht="12.75">
      <c r="A128" s="62" t="s">
        <v>224</v>
      </c>
      <c r="B128" s="62" t="s">
        <v>1</v>
      </c>
      <c r="C128" s="62"/>
      <c r="D128" s="62"/>
      <c r="E128" s="62"/>
      <c r="F128" s="62"/>
      <c r="G128" s="63" t="s">
        <v>119</v>
      </c>
      <c r="H128" s="62" t="s">
        <v>225</v>
      </c>
      <c r="I128" s="64" t="s">
        <v>226</v>
      </c>
      <c r="J128" s="63"/>
    </row>
    <row r="129" spans="1:10" ht="12.75">
      <c r="A129" s="62" t="s">
        <v>227</v>
      </c>
      <c r="B129" s="65">
        <v>45978</v>
      </c>
      <c r="C129" s="62"/>
      <c r="D129" s="62"/>
      <c r="E129" s="62"/>
      <c r="F129" s="62"/>
      <c r="G129" s="63"/>
      <c r="H129" s="62" t="s">
        <v>228</v>
      </c>
      <c r="I129" s="66" t="s">
        <v>115</v>
      </c>
      <c r="J129" s="63"/>
    </row>
    <row r="130" spans="1:10" ht="12.75">
      <c r="A130" s="62"/>
      <c r="B130" s="62"/>
      <c r="C130" s="62"/>
      <c r="D130" s="62"/>
      <c r="E130" s="62"/>
      <c r="F130" s="62"/>
      <c r="G130" s="63"/>
      <c r="H130" s="63"/>
      <c r="I130" s="63"/>
      <c r="J130" s="63"/>
    </row>
    <row r="131" spans="1:10" ht="12.75">
      <c r="A131" s="62"/>
      <c r="B131" s="67" t="s">
        <v>229</v>
      </c>
      <c r="C131" s="67" t="s">
        <v>230</v>
      </c>
      <c r="D131" s="67" t="s">
        <v>231</v>
      </c>
      <c r="E131" s="67" t="s">
        <v>232</v>
      </c>
      <c r="F131" s="67" t="s">
        <v>233</v>
      </c>
      <c r="G131" s="67" t="s">
        <v>234</v>
      </c>
      <c r="H131" s="67" t="s">
        <v>235</v>
      </c>
      <c r="I131" s="67" t="s">
        <v>236</v>
      </c>
      <c r="J131" s="67" t="s">
        <v>235</v>
      </c>
    </row>
    <row r="132" spans="1:10" ht="12.75">
      <c r="A132" s="62"/>
      <c r="B132" s="68"/>
      <c r="C132" s="69"/>
      <c r="D132" s="70"/>
      <c r="E132" s="70"/>
      <c r="F132" s="71"/>
      <c r="G132" s="70"/>
      <c r="H132" s="71"/>
      <c r="I132" s="70"/>
      <c r="J132" s="72" t="s">
        <v>119</v>
      </c>
    </row>
    <row r="133" spans="1:10" ht="12.75">
      <c r="B133" s="73">
        <v>1</v>
      </c>
      <c r="C133" s="74" t="s">
        <v>237</v>
      </c>
      <c r="D133" s="75" t="s">
        <v>238</v>
      </c>
      <c r="E133" s="75"/>
      <c r="F133" s="76">
        <v>45978</v>
      </c>
      <c r="G133" s="75" t="s">
        <v>131</v>
      </c>
      <c r="H133" s="77">
        <v>5844398</v>
      </c>
      <c r="I133" s="75" t="s">
        <v>119</v>
      </c>
      <c r="J133" s="77" t="s">
        <v>119</v>
      </c>
    </row>
    <row r="134" spans="1:10" ht="12.75">
      <c r="A134" s="62"/>
      <c r="B134" s="73"/>
      <c r="C134" s="74"/>
      <c r="D134" s="75"/>
      <c r="E134" s="75"/>
      <c r="F134" s="77"/>
      <c r="G134" s="75"/>
      <c r="H134" s="77"/>
      <c r="I134" s="75"/>
      <c r="J134" s="77"/>
    </row>
    <row r="135" spans="1:10" ht="12.75">
      <c r="B135" s="78" t="s">
        <v>119</v>
      </c>
      <c r="C135" s="31" t="s">
        <v>119</v>
      </c>
      <c r="D135" s="75" t="s">
        <v>119</v>
      </c>
      <c r="E135" s="75" t="s">
        <v>119</v>
      </c>
      <c r="F135" s="76" t="s">
        <v>119</v>
      </c>
      <c r="G135" s="75" t="s">
        <v>119</v>
      </c>
      <c r="H135" s="77" t="s">
        <v>119</v>
      </c>
      <c r="I135" s="75" t="s">
        <v>119</v>
      </c>
      <c r="J135" s="77" t="s">
        <v>119</v>
      </c>
    </row>
    <row r="136" spans="1:10" ht="12.75">
      <c r="B136" s="78"/>
      <c r="C136" s="31"/>
      <c r="D136" s="75"/>
      <c r="E136" s="75"/>
      <c r="F136" s="77"/>
      <c r="G136" s="75"/>
      <c r="H136" s="77"/>
      <c r="I136" s="75"/>
      <c r="J136" s="77"/>
    </row>
    <row r="137" spans="1:10" ht="12.75">
      <c r="A137" s="62"/>
      <c r="B137" s="78" t="s">
        <v>119</v>
      </c>
      <c r="C137" s="79" t="s">
        <v>119</v>
      </c>
      <c r="D137" s="75" t="s">
        <v>119</v>
      </c>
      <c r="E137" s="75" t="s">
        <v>119</v>
      </c>
      <c r="F137" s="76" t="s">
        <v>119</v>
      </c>
      <c r="G137" s="75" t="s">
        <v>119</v>
      </c>
      <c r="H137" s="77" t="s">
        <v>119</v>
      </c>
      <c r="I137" s="75" t="s">
        <v>119</v>
      </c>
      <c r="J137" s="77" t="s">
        <v>119</v>
      </c>
    </row>
    <row r="138" spans="1:10" ht="12.75">
      <c r="A138" s="62"/>
      <c r="B138" s="78"/>
      <c r="C138" s="31"/>
      <c r="D138" s="75"/>
      <c r="E138" s="75"/>
      <c r="F138" s="77"/>
      <c r="G138" s="75"/>
      <c r="H138" s="77"/>
      <c r="I138" s="75"/>
      <c r="J138" s="77"/>
    </row>
    <row r="139" spans="1:10" ht="12.75">
      <c r="A139" s="62"/>
      <c r="B139" s="80"/>
      <c r="C139" s="32"/>
      <c r="D139" s="75"/>
      <c r="E139" s="75"/>
      <c r="F139" s="76"/>
      <c r="G139" s="75"/>
      <c r="H139" s="77"/>
      <c r="I139" s="75"/>
      <c r="J139" s="77"/>
    </row>
    <row r="140" spans="1:10" ht="12.75">
      <c r="B140" s="73"/>
      <c r="C140" s="74"/>
      <c r="D140" s="75"/>
      <c r="E140" s="75"/>
      <c r="F140" s="77"/>
      <c r="G140" s="75"/>
      <c r="H140" s="77"/>
      <c r="I140" s="75"/>
      <c r="J140" s="77"/>
    </row>
    <row r="141" spans="1:10" ht="12.75">
      <c r="A141" s="62"/>
      <c r="B141" s="73"/>
      <c r="C141" s="74"/>
      <c r="D141" s="75"/>
      <c r="E141" s="75"/>
      <c r="F141" s="77"/>
      <c r="G141" s="75"/>
      <c r="H141" s="77"/>
      <c r="I141" s="75"/>
      <c r="J141" s="77"/>
    </row>
    <row r="142" spans="1:10" ht="12.75">
      <c r="A142" s="62"/>
      <c r="B142" s="73"/>
      <c r="C142" s="74"/>
      <c r="D142" s="75"/>
      <c r="E142" s="75"/>
      <c r="F142" s="77"/>
      <c r="G142" s="75"/>
      <c r="H142" s="77"/>
      <c r="I142" s="75"/>
      <c r="J142" s="77"/>
    </row>
    <row r="143" spans="1:10" ht="12.75">
      <c r="A143" s="62"/>
      <c r="B143" s="73"/>
      <c r="C143" s="74"/>
      <c r="D143" s="75"/>
      <c r="E143" s="75"/>
      <c r="F143" s="77"/>
      <c r="G143" s="75"/>
      <c r="H143" s="77"/>
      <c r="I143" s="75"/>
      <c r="J143" s="77"/>
    </row>
    <row r="144" spans="1:10" ht="12.75">
      <c r="A144" s="62"/>
      <c r="B144" s="73"/>
      <c r="C144" s="74"/>
      <c r="D144" s="75"/>
      <c r="E144" s="75"/>
      <c r="F144" s="77"/>
      <c r="G144" s="75"/>
      <c r="H144" s="77"/>
      <c r="I144" s="75"/>
      <c r="J144" s="77"/>
    </row>
    <row r="145" spans="1:11" ht="12.75">
      <c r="A145" s="62"/>
      <c r="B145" s="73"/>
      <c r="C145" s="74"/>
      <c r="D145" s="75"/>
      <c r="E145" s="75"/>
      <c r="F145" s="77"/>
      <c r="G145" s="75"/>
      <c r="H145" s="77"/>
      <c r="I145" s="75"/>
      <c r="J145" s="77"/>
    </row>
    <row r="146" spans="1:11" ht="12.75">
      <c r="A146" s="81"/>
      <c r="B146" s="82"/>
      <c r="C146" s="83"/>
      <c r="D146" s="84"/>
      <c r="E146" s="84"/>
      <c r="F146" s="85"/>
      <c r="G146" s="84"/>
      <c r="H146" s="85"/>
      <c r="I146" s="84"/>
      <c r="J146" s="85"/>
      <c r="K146" s="86"/>
    </row>
    <row r="147" spans="1:11" ht="12.75">
      <c r="A147" s="62"/>
      <c r="B147" s="73"/>
      <c r="C147" s="74"/>
      <c r="D147" s="75"/>
      <c r="E147" s="75"/>
      <c r="F147" s="77"/>
      <c r="G147" s="75"/>
      <c r="H147" s="77"/>
      <c r="I147" s="75"/>
      <c r="J147" s="77"/>
    </row>
    <row r="148" spans="1:11" ht="12.75">
      <c r="A148" s="62"/>
      <c r="B148" s="73"/>
      <c r="C148" s="74"/>
      <c r="D148" s="75"/>
      <c r="E148" s="75"/>
      <c r="F148" s="77"/>
      <c r="G148" s="75"/>
      <c r="H148" s="77"/>
      <c r="I148" s="75"/>
      <c r="J148" s="77"/>
    </row>
    <row r="149" spans="1:11" ht="12.75">
      <c r="A149" s="62"/>
      <c r="B149" s="73"/>
      <c r="C149" s="74"/>
      <c r="D149" s="75"/>
      <c r="E149" s="75"/>
      <c r="F149" s="77"/>
      <c r="G149" s="75"/>
      <c r="H149" s="77"/>
      <c r="I149" s="75"/>
      <c r="J149" s="77"/>
    </row>
    <row r="150" spans="1:11" ht="12.75">
      <c r="A150" s="62"/>
      <c r="B150" s="73"/>
      <c r="C150" s="74"/>
      <c r="D150" s="75"/>
      <c r="E150" s="75"/>
      <c r="F150" s="77"/>
      <c r="G150" s="75"/>
      <c r="H150" s="77"/>
      <c r="I150" s="75"/>
      <c r="J150" s="77"/>
    </row>
    <row r="151" spans="1:11" ht="12.75">
      <c r="A151" s="62"/>
      <c r="B151" s="73"/>
      <c r="C151" s="74"/>
      <c r="D151" s="75"/>
      <c r="E151" s="75"/>
      <c r="F151" s="77"/>
      <c r="G151" s="75"/>
      <c r="H151" s="77"/>
      <c r="I151" s="75"/>
      <c r="J151" s="77"/>
    </row>
    <row r="152" spans="1:11" ht="12.75">
      <c r="A152" s="62"/>
      <c r="B152" s="73"/>
      <c r="C152" s="74"/>
      <c r="D152" s="75"/>
      <c r="E152" s="75"/>
      <c r="F152" s="77"/>
      <c r="G152" s="75"/>
      <c r="H152" s="77"/>
      <c r="I152" s="75"/>
      <c r="J152" s="77"/>
    </row>
    <row r="153" spans="1:11" ht="12.75">
      <c r="A153" s="62"/>
      <c r="B153" s="73"/>
      <c r="C153" s="74"/>
      <c r="D153" s="75"/>
      <c r="E153" s="75"/>
      <c r="F153" s="77"/>
      <c r="G153" s="75"/>
      <c r="H153" s="77"/>
      <c r="I153" s="75"/>
      <c r="J153" s="77"/>
    </row>
    <row r="154" spans="1:11" ht="12.75">
      <c r="A154" s="62"/>
      <c r="B154" s="73"/>
      <c r="C154" s="74"/>
      <c r="D154" s="75"/>
      <c r="E154" s="75"/>
      <c r="F154" s="77"/>
      <c r="G154" s="75"/>
      <c r="H154" s="77"/>
      <c r="I154" s="75"/>
      <c r="J154" s="77"/>
    </row>
    <row r="155" spans="1:11" ht="12.75">
      <c r="A155" s="62"/>
      <c r="B155" s="73"/>
      <c r="C155" s="74"/>
      <c r="D155" s="75"/>
      <c r="E155" s="75"/>
      <c r="F155" s="77"/>
      <c r="G155" s="75"/>
      <c r="H155" s="77"/>
      <c r="I155" s="75"/>
      <c r="J155" s="77"/>
    </row>
    <row r="156" spans="1:11" ht="12.75">
      <c r="A156" s="62"/>
      <c r="B156" s="73"/>
      <c r="C156" s="74"/>
      <c r="D156" s="75"/>
      <c r="E156" s="75"/>
      <c r="F156" s="77"/>
      <c r="G156" s="75"/>
      <c r="H156" s="77"/>
      <c r="I156" s="75"/>
      <c r="J156" s="77"/>
    </row>
    <row r="157" spans="1:11" ht="12.75">
      <c r="A157" s="62"/>
      <c r="B157" s="73"/>
      <c r="C157" s="74"/>
      <c r="D157" s="75"/>
      <c r="E157" s="75"/>
      <c r="F157" s="77"/>
      <c r="G157" s="75"/>
      <c r="H157" s="77"/>
      <c r="I157" s="75"/>
      <c r="J157" s="77"/>
    </row>
    <row r="158" spans="1:11" ht="12.75">
      <c r="A158" s="62"/>
      <c r="B158" s="73"/>
      <c r="C158" s="74"/>
      <c r="D158" s="75"/>
      <c r="E158" s="75"/>
      <c r="F158" s="77"/>
      <c r="G158" s="75"/>
      <c r="H158" s="77"/>
      <c r="I158" s="75"/>
      <c r="J158" s="77"/>
    </row>
    <row r="159" spans="1:11" ht="12.75">
      <c r="A159" s="62"/>
      <c r="B159" s="73"/>
      <c r="C159" s="74"/>
      <c r="D159" s="75"/>
      <c r="E159" s="75"/>
      <c r="F159" s="77"/>
      <c r="G159" s="75"/>
      <c r="H159" s="77"/>
      <c r="I159" s="75"/>
      <c r="J159" s="77"/>
    </row>
    <row r="160" spans="1:11" ht="12.75">
      <c r="A160" s="62"/>
      <c r="B160" s="73"/>
      <c r="C160" s="74"/>
      <c r="D160" s="75"/>
      <c r="E160" s="75"/>
      <c r="F160" s="77"/>
      <c r="G160" s="75"/>
      <c r="H160" s="77"/>
      <c r="I160" s="75"/>
      <c r="J160" s="77"/>
    </row>
    <row r="161" spans="1:10" ht="12.75">
      <c r="A161" s="62"/>
      <c r="B161" s="73"/>
      <c r="C161" s="74"/>
      <c r="D161" s="75"/>
      <c r="E161" s="75"/>
      <c r="F161" s="77"/>
      <c r="G161" s="75"/>
      <c r="H161" s="77"/>
      <c r="I161" s="75"/>
      <c r="J161" s="77"/>
    </row>
    <row r="162" spans="1:10" ht="12.75">
      <c r="A162" s="62" t="s">
        <v>239</v>
      </c>
      <c r="B162" s="73"/>
      <c r="C162" s="74"/>
      <c r="D162" s="75"/>
      <c r="E162" s="75"/>
      <c r="F162" s="77"/>
      <c r="G162" s="75"/>
      <c r="H162" s="77">
        <f>SUM(H133:H161)</f>
        <v>5844398</v>
      </c>
      <c r="I162" s="75"/>
      <c r="J162" s="77">
        <f>SUM(J133:J160)</f>
        <v>0</v>
      </c>
    </row>
    <row r="163" spans="1:10" ht="12.75">
      <c r="A163" s="63"/>
      <c r="B163" s="73"/>
      <c r="C163" s="74"/>
      <c r="D163" s="75"/>
      <c r="E163" s="75"/>
      <c r="F163" s="77"/>
      <c r="G163" s="75"/>
      <c r="H163" s="77"/>
      <c r="I163" s="75"/>
      <c r="J163" s="77"/>
    </row>
    <row r="164" spans="1:10" ht="12.75">
      <c r="A164" s="63"/>
      <c r="B164" s="87"/>
      <c r="C164" s="88"/>
      <c r="D164" s="89"/>
      <c r="E164" s="89"/>
      <c r="F164" s="90"/>
      <c r="G164" s="89"/>
      <c r="H164" s="90"/>
      <c r="I164" s="89"/>
      <c r="J164" s="90"/>
    </row>
    <row r="165" spans="1:10" ht="12.75"/>
    <row r="166" spans="1:10" ht="12.75"/>
    <row r="167" spans="1:10" ht="12.75">
      <c r="A167" s="27" t="s">
        <v>240</v>
      </c>
      <c r="B167" s="27"/>
      <c r="C167" s="27"/>
      <c r="D167" s="27"/>
      <c r="E167" s="27"/>
      <c r="F167" s="27"/>
    </row>
    <row r="168" spans="1:10" ht="12.75"/>
    <row r="169" spans="1:10" ht="12.75"/>
    <row r="170" spans="1:10" ht="12.75">
      <c r="A170" s="62" t="s">
        <v>224</v>
      </c>
      <c r="B170" s="62" t="s">
        <v>1</v>
      </c>
      <c r="C170" s="62"/>
      <c r="D170" s="62"/>
      <c r="E170" s="62"/>
      <c r="F170" s="62"/>
      <c r="G170" s="63" t="s">
        <v>119</v>
      </c>
      <c r="H170" s="62" t="s">
        <v>241</v>
      </c>
      <c r="I170" s="62" t="s">
        <v>255</v>
      </c>
      <c r="J170" s="63"/>
    </row>
    <row r="171" spans="1:10" ht="12.75">
      <c r="A171" s="62" t="s">
        <v>227</v>
      </c>
      <c r="B171" s="65">
        <v>45978</v>
      </c>
      <c r="C171" s="62"/>
      <c r="D171" s="62"/>
      <c r="E171" s="62"/>
      <c r="F171" s="62"/>
      <c r="G171" s="63"/>
      <c r="H171" s="62" t="s">
        <v>228</v>
      </c>
      <c r="I171" s="62" t="s">
        <v>136</v>
      </c>
      <c r="J171" s="63"/>
    </row>
    <row r="172" spans="1:10" ht="12.75">
      <c r="A172" s="62"/>
      <c r="B172" s="62"/>
      <c r="C172" s="62"/>
      <c r="D172" s="62"/>
      <c r="E172" s="62"/>
      <c r="F172" s="62"/>
      <c r="G172" s="63"/>
      <c r="H172" s="63"/>
      <c r="I172" s="63"/>
      <c r="J172" s="63"/>
    </row>
    <row r="173" spans="1:10" ht="12.75">
      <c r="A173" s="62"/>
      <c r="B173" s="67" t="s">
        <v>229</v>
      </c>
      <c r="C173" s="67" t="s">
        <v>230</v>
      </c>
      <c r="D173" s="67" t="s">
        <v>231</v>
      </c>
      <c r="E173" s="67" t="s">
        <v>232</v>
      </c>
      <c r="F173" s="67" t="s">
        <v>233</v>
      </c>
      <c r="G173" s="67" t="s">
        <v>234</v>
      </c>
      <c r="H173" s="67" t="s">
        <v>235</v>
      </c>
      <c r="I173" s="67" t="s">
        <v>236</v>
      </c>
      <c r="J173" s="67" t="s">
        <v>235</v>
      </c>
    </row>
    <row r="174" spans="1:10" ht="12.75">
      <c r="A174" s="62"/>
      <c r="B174" s="92"/>
      <c r="C174" s="69"/>
      <c r="D174" s="70"/>
      <c r="E174" s="70"/>
      <c r="F174" s="71"/>
      <c r="G174" s="70"/>
      <c r="H174" s="71"/>
      <c r="I174" s="100"/>
      <c r="J174" s="96"/>
    </row>
    <row r="175" spans="1:10" ht="12.75">
      <c r="B175" s="93">
        <v>1</v>
      </c>
      <c r="C175" s="32" t="s">
        <v>237</v>
      </c>
      <c r="D175" s="75" t="s">
        <v>238</v>
      </c>
      <c r="E175" s="75"/>
      <c r="F175" s="76">
        <v>45978</v>
      </c>
      <c r="G175" s="75"/>
      <c r="H175" s="77"/>
      <c r="I175" s="101" t="s">
        <v>138</v>
      </c>
      <c r="J175" s="97">
        <v>5844398</v>
      </c>
    </row>
    <row r="176" spans="1:10" ht="12.75">
      <c r="B176" s="93"/>
      <c r="C176" s="32"/>
      <c r="D176" s="75"/>
      <c r="E176" s="75"/>
      <c r="F176" s="76"/>
      <c r="G176" s="75"/>
      <c r="H176" s="77"/>
      <c r="I176" s="101"/>
      <c r="J176" s="97"/>
    </row>
    <row r="177" spans="1:10" ht="12.75">
      <c r="B177" s="93"/>
      <c r="C177" s="32"/>
      <c r="D177" s="75"/>
      <c r="E177" s="75"/>
      <c r="F177" s="76"/>
      <c r="G177" s="75"/>
      <c r="H177" s="77"/>
      <c r="I177" s="101"/>
      <c r="J177" s="97"/>
    </row>
    <row r="178" spans="1:10" ht="12.75">
      <c r="B178" s="93"/>
      <c r="C178" s="32"/>
      <c r="D178" s="75"/>
      <c r="E178" s="75"/>
      <c r="F178" s="91"/>
      <c r="G178" s="75"/>
      <c r="H178" s="77"/>
      <c r="I178" s="101"/>
      <c r="J178" s="97"/>
    </row>
    <row r="179" spans="1:10" ht="12.75">
      <c r="A179" s="62"/>
      <c r="B179" s="93"/>
      <c r="C179" s="32"/>
      <c r="D179" s="75"/>
      <c r="E179" s="75"/>
      <c r="F179" s="76"/>
      <c r="G179" s="75"/>
      <c r="H179" s="77"/>
      <c r="I179" s="101"/>
      <c r="J179" s="97"/>
    </row>
    <row r="180" spans="1:10" ht="12.75">
      <c r="A180" s="62"/>
      <c r="B180" s="93"/>
      <c r="C180" s="32"/>
      <c r="D180" s="75"/>
      <c r="E180" s="75"/>
      <c r="F180" s="76"/>
      <c r="G180" s="75"/>
      <c r="H180" s="77"/>
      <c r="I180" s="101"/>
      <c r="J180" s="97"/>
    </row>
    <row r="181" spans="1:10" ht="12.75">
      <c r="A181" s="62"/>
      <c r="B181" s="93"/>
      <c r="C181" s="32"/>
      <c r="D181" s="75"/>
      <c r="E181" s="75"/>
      <c r="F181" s="76"/>
      <c r="G181" s="75"/>
      <c r="H181" s="77"/>
      <c r="I181" s="101"/>
      <c r="J181" s="97"/>
    </row>
    <row r="182" spans="1:10" ht="12.75">
      <c r="A182" s="62"/>
      <c r="B182" s="93"/>
      <c r="C182" s="32"/>
      <c r="D182" s="75"/>
      <c r="E182" s="75"/>
      <c r="F182" s="91"/>
      <c r="G182" s="75"/>
      <c r="H182" s="77"/>
      <c r="I182" s="101"/>
      <c r="J182" s="97"/>
    </row>
    <row r="183" spans="1:10" ht="12.75">
      <c r="B183" s="93"/>
      <c r="C183" s="32"/>
      <c r="D183" s="75"/>
      <c r="E183" s="75"/>
      <c r="F183" s="76"/>
      <c r="G183" s="75"/>
      <c r="H183" s="77"/>
      <c r="I183" s="101"/>
      <c r="J183" s="97"/>
    </row>
    <row r="184" spans="1:10" ht="12.75">
      <c r="B184" s="93"/>
      <c r="C184" s="32"/>
      <c r="D184" s="75"/>
      <c r="E184" s="75"/>
      <c r="F184" s="76"/>
      <c r="G184" s="75"/>
      <c r="H184" s="77"/>
      <c r="I184" s="101"/>
      <c r="J184" s="97"/>
    </row>
    <row r="185" spans="1:10" ht="12.75">
      <c r="B185" s="93"/>
      <c r="C185" s="32"/>
      <c r="D185" s="75"/>
      <c r="E185" s="75"/>
      <c r="F185" s="76"/>
      <c r="G185" s="75"/>
      <c r="H185" s="77"/>
      <c r="I185" s="101"/>
      <c r="J185" s="97"/>
    </row>
    <row r="186" spans="1:10" ht="12.75">
      <c r="B186" s="93"/>
      <c r="C186" s="32"/>
      <c r="D186" s="75"/>
      <c r="E186" s="75"/>
      <c r="F186" s="91"/>
      <c r="G186" s="75"/>
      <c r="H186" s="77"/>
      <c r="I186" s="101"/>
      <c r="J186" s="97"/>
    </row>
    <row r="187" spans="1:10" ht="12.75">
      <c r="A187" s="62"/>
      <c r="B187" s="93"/>
      <c r="C187" s="32"/>
      <c r="D187" s="75"/>
      <c r="E187" s="75"/>
      <c r="F187" s="76"/>
      <c r="G187" s="75"/>
      <c r="H187" s="77"/>
      <c r="I187" s="101"/>
      <c r="J187" s="97"/>
    </row>
    <row r="188" spans="1:10" ht="12.75">
      <c r="A188" s="62"/>
      <c r="B188" s="93"/>
      <c r="C188" s="32"/>
      <c r="D188" s="75"/>
      <c r="E188" s="75"/>
      <c r="F188" s="76"/>
      <c r="G188" s="75"/>
      <c r="H188" s="77"/>
      <c r="I188" s="101"/>
      <c r="J188" s="97"/>
    </row>
    <row r="189" spans="1:10" ht="12.75">
      <c r="A189" s="62"/>
      <c r="B189" s="93"/>
      <c r="C189" s="32"/>
      <c r="D189" s="75"/>
      <c r="E189" s="75"/>
      <c r="F189" s="76"/>
      <c r="G189" s="75"/>
      <c r="H189" s="77"/>
      <c r="I189" s="101"/>
      <c r="J189" s="97"/>
    </row>
    <row r="190" spans="1:10" ht="12.75">
      <c r="B190" s="94" t="s">
        <v>119</v>
      </c>
      <c r="C190" s="32" t="s">
        <v>119</v>
      </c>
      <c r="D190" s="75" t="s">
        <v>119</v>
      </c>
      <c r="E190" s="75"/>
      <c r="F190" s="76"/>
      <c r="G190" s="75"/>
      <c r="H190" s="77"/>
      <c r="I190" s="101"/>
      <c r="J190" s="98" t="s">
        <v>119</v>
      </c>
    </row>
    <row r="191" spans="1:10" ht="12.75">
      <c r="A191" s="62"/>
      <c r="B191" s="94"/>
      <c r="C191" s="74"/>
      <c r="D191" s="75" t="s">
        <v>250</v>
      </c>
      <c r="E191" s="75"/>
      <c r="F191" s="77"/>
      <c r="G191" s="75"/>
      <c r="H191" s="77"/>
      <c r="I191" s="101"/>
      <c r="J191" s="98"/>
    </row>
    <row r="192" spans="1:10" ht="12.75">
      <c r="A192" s="62"/>
      <c r="B192" s="94"/>
      <c r="C192" s="74"/>
      <c r="D192" s="75"/>
      <c r="E192" s="75"/>
      <c r="F192" s="77"/>
      <c r="G192" s="75"/>
      <c r="H192" s="77"/>
      <c r="I192" s="101"/>
      <c r="J192" s="98"/>
    </row>
    <row r="193" spans="1:10" ht="12.75">
      <c r="A193" s="62"/>
      <c r="B193" s="94"/>
      <c r="C193" s="74"/>
      <c r="D193" s="75"/>
      <c r="E193" s="75"/>
      <c r="F193" s="77"/>
      <c r="G193" s="75"/>
      <c r="H193" s="77"/>
      <c r="I193" s="101"/>
      <c r="J193" s="98"/>
    </row>
    <row r="194" spans="1:10" ht="12.75">
      <c r="A194" s="62"/>
      <c r="B194" s="94"/>
      <c r="C194" s="74"/>
      <c r="D194" s="75"/>
      <c r="E194" s="75"/>
      <c r="F194" s="77"/>
      <c r="G194" s="75"/>
      <c r="H194" s="77"/>
      <c r="I194" s="101"/>
      <c r="J194" s="98"/>
    </row>
    <row r="195" spans="1:10" ht="12.75">
      <c r="A195" s="62"/>
      <c r="B195" s="94"/>
      <c r="C195" s="74"/>
      <c r="D195" s="75"/>
      <c r="E195" s="75"/>
      <c r="F195" s="77"/>
      <c r="G195" s="75"/>
      <c r="H195" s="77"/>
      <c r="I195" s="101"/>
      <c r="J195" s="98"/>
    </row>
    <row r="196" spans="1:10" ht="12.75">
      <c r="A196" s="62"/>
      <c r="B196" s="94"/>
      <c r="C196" s="74"/>
      <c r="D196" s="75"/>
      <c r="E196" s="75"/>
      <c r="F196" s="77"/>
      <c r="G196" s="75"/>
      <c r="H196" s="77"/>
      <c r="I196" s="101"/>
      <c r="J196" s="98"/>
    </row>
    <row r="197" spans="1:10" ht="12.75">
      <c r="A197" s="62"/>
      <c r="B197" s="94"/>
      <c r="C197" s="74"/>
      <c r="D197" s="75"/>
      <c r="E197" s="75"/>
      <c r="F197" s="77"/>
      <c r="G197" s="75"/>
      <c r="H197" s="77"/>
      <c r="I197" s="101"/>
      <c r="J197" s="98"/>
    </row>
    <row r="198" spans="1:10" ht="12.75">
      <c r="A198" s="62"/>
      <c r="B198" s="94"/>
      <c r="C198" s="74"/>
      <c r="D198" s="75"/>
      <c r="E198" s="75"/>
      <c r="F198" s="77"/>
      <c r="G198" s="75"/>
      <c r="H198" s="77"/>
      <c r="I198" s="101"/>
      <c r="J198" s="98"/>
    </row>
    <row r="199" spans="1:10" ht="12.75">
      <c r="A199" s="62"/>
      <c r="B199" s="94"/>
      <c r="C199" s="74"/>
      <c r="D199" s="75"/>
      <c r="E199" s="75"/>
      <c r="F199" s="77"/>
      <c r="G199" s="75"/>
      <c r="H199" s="77"/>
      <c r="I199" s="101"/>
      <c r="J199" s="98"/>
    </row>
    <row r="200" spans="1:10" ht="12.75">
      <c r="A200" s="62"/>
      <c r="B200" s="94"/>
      <c r="C200" s="74"/>
      <c r="D200" s="75"/>
      <c r="E200" s="75"/>
      <c r="F200" s="77"/>
      <c r="G200" s="75"/>
      <c r="H200" s="77"/>
      <c r="I200" s="101"/>
      <c r="J200" s="98"/>
    </row>
    <row r="201" spans="1:10" ht="12.75">
      <c r="A201" s="62" t="s">
        <v>251</v>
      </c>
      <c r="B201" s="94"/>
      <c r="C201" s="74"/>
      <c r="D201" s="75"/>
      <c r="E201" s="75"/>
      <c r="F201" s="77"/>
      <c r="G201" s="75"/>
      <c r="H201" s="77"/>
      <c r="I201" s="101"/>
      <c r="J201" s="98">
        <f>SUM(J175:J200)</f>
        <v>5844398</v>
      </c>
    </row>
    <row r="202" spans="1:10" ht="12.75">
      <c r="A202" s="63"/>
      <c r="B202" s="94"/>
      <c r="C202" s="74"/>
      <c r="D202" s="75"/>
      <c r="E202" s="75"/>
      <c r="F202" s="77"/>
      <c r="G202" s="75"/>
      <c r="H202" s="77"/>
      <c r="I202" s="101"/>
      <c r="J202" s="98"/>
    </row>
    <row r="203" spans="1:10" ht="12.75">
      <c r="A203" s="63"/>
      <c r="B203" s="95"/>
      <c r="C203" s="88"/>
      <c r="D203" s="89"/>
      <c r="E203" s="89"/>
      <c r="F203" s="90"/>
      <c r="G203" s="89"/>
      <c r="H203" s="90"/>
      <c r="I203" s="102"/>
      <c r="J203" s="99"/>
    </row>
    <row r="204" spans="1:10" ht="12.75"/>
    <row r="205" spans="1:10" ht="12.75"/>
    <row r="206" spans="1:10" ht="12.75">
      <c r="A206" s="27" t="s">
        <v>223</v>
      </c>
      <c r="B206" s="27"/>
      <c r="C206" s="27"/>
      <c r="D206" s="27"/>
      <c r="E206" s="27"/>
      <c r="F206" s="27"/>
    </row>
    <row r="207" spans="1:10" ht="12.75">
      <c r="F207" s="36" t="s">
        <v>119</v>
      </c>
    </row>
    <row r="208" spans="1:10" ht="12.75"/>
    <row r="209" spans="1:10" ht="12.75">
      <c r="A209" s="62" t="s">
        <v>224</v>
      </c>
      <c r="B209" s="62" t="s">
        <v>1</v>
      </c>
      <c r="C209" s="62"/>
      <c r="D209" s="62"/>
      <c r="E209" s="62"/>
      <c r="F209" s="62"/>
      <c r="G209" s="63" t="s">
        <v>119</v>
      </c>
      <c r="H209" s="62" t="s">
        <v>225</v>
      </c>
      <c r="I209" s="64" t="s">
        <v>252</v>
      </c>
      <c r="J209" s="63"/>
    </row>
    <row r="210" spans="1:10" ht="12.75">
      <c r="A210" s="62" t="s">
        <v>227</v>
      </c>
      <c r="B210" s="65">
        <v>45978</v>
      </c>
      <c r="C210" s="62"/>
      <c r="D210" s="62"/>
      <c r="E210" s="62"/>
      <c r="F210" s="62"/>
      <c r="G210" s="63"/>
      <c r="H210" s="62" t="s">
        <v>228</v>
      </c>
      <c r="I210" s="66" t="s">
        <v>175</v>
      </c>
      <c r="J210" s="63"/>
    </row>
    <row r="211" spans="1:10" ht="12.75">
      <c r="A211" s="62"/>
      <c r="B211" s="62"/>
      <c r="C211" s="62"/>
      <c r="D211" s="62"/>
      <c r="E211" s="62"/>
      <c r="F211" s="62"/>
      <c r="G211" s="63"/>
      <c r="H211" s="63"/>
      <c r="I211" s="63"/>
      <c r="J211" s="63"/>
    </row>
    <row r="212" spans="1:10" ht="12.75">
      <c r="A212" s="62"/>
      <c r="B212" s="67" t="s">
        <v>229</v>
      </c>
      <c r="C212" s="67" t="s">
        <v>230</v>
      </c>
      <c r="D212" s="67" t="s">
        <v>231</v>
      </c>
      <c r="E212" s="67" t="s">
        <v>232</v>
      </c>
      <c r="F212" s="67" t="s">
        <v>233</v>
      </c>
      <c r="G212" s="67" t="s">
        <v>234</v>
      </c>
      <c r="H212" s="67" t="s">
        <v>235</v>
      </c>
      <c r="I212" s="67" t="s">
        <v>236</v>
      </c>
      <c r="J212" s="67" t="s">
        <v>235</v>
      </c>
    </row>
    <row r="213" spans="1:10" ht="12.75">
      <c r="A213" s="62"/>
      <c r="B213" s="68"/>
      <c r="C213" s="69"/>
      <c r="D213" s="70"/>
      <c r="E213" s="70"/>
      <c r="F213" s="71"/>
      <c r="G213" s="70"/>
      <c r="H213" s="71"/>
      <c r="I213" s="70"/>
      <c r="J213" s="72"/>
    </row>
    <row r="214" spans="1:10" ht="12.75">
      <c r="B214" s="93">
        <v>1</v>
      </c>
      <c r="C214" s="32" t="s">
        <v>237</v>
      </c>
      <c r="D214" s="75" t="s">
        <v>238</v>
      </c>
      <c r="E214" s="75"/>
      <c r="F214" s="76">
        <v>45978</v>
      </c>
      <c r="G214" s="75"/>
      <c r="H214" s="77"/>
      <c r="I214" s="101" t="s">
        <v>138</v>
      </c>
      <c r="J214" s="77">
        <v>2922199</v>
      </c>
    </row>
    <row r="215" spans="1:10" ht="12.75">
      <c r="A215" s="62"/>
      <c r="B215" s="73"/>
      <c r="C215" s="74"/>
      <c r="D215" s="75"/>
      <c r="E215" s="75"/>
      <c r="F215" s="77"/>
      <c r="G215" s="75"/>
      <c r="H215" s="77"/>
      <c r="I215" s="75"/>
      <c r="J215" s="77"/>
    </row>
    <row r="216" spans="1:10" ht="12.75">
      <c r="B216" s="78"/>
      <c r="C216" s="79"/>
      <c r="D216" s="75"/>
      <c r="E216" s="75"/>
      <c r="F216" s="76"/>
      <c r="G216" s="75"/>
      <c r="H216" s="77"/>
      <c r="I216" s="75"/>
      <c r="J216" s="77"/>
    </row>
    <row r="217" spans="1:10" ht="12.75">
      <c r="B217" s="78"/>
      <c r="C217" s="31"/>
      <c r="D217" s="75"/>
      <c r="E217" s="75"/>
      <c r="F217" s="77"/>
      <c r="G217" s="75"/>
      <c r="H217" s="77"/>
      <c r="I217" s="75"/>
      <c r="J217" s="77"/>
    </row>
    <row r="218" spans="1:10" ht="12.75">
      <c r="A218" s="62"/>
      <c r="B218" s="78" t="s">
        <v>119</v>
      </c>
      <c r="C218" s="79" t="s">
        <v>119</v>
      </c>
      <c r="D218" s="75" t="s">
        <v>119</v>
      </c>
      <c r="E218" s="75" t="s">
        <v>119</v>
      </c>
      <c r="F218" s="76" t="s">
        <v>119</v>
      </c>
      <c r="G218" s="75" t="s">
        <v>119</v>
      </c>
      <c r="H218" s="77" t="s">
        <v>119</v>
      </c>
      <c r="I218" s="75" t="s">
        <v>119</v>
      </c>
      <c r="J218" s="77" t="s">
        <v>119</v>
      </c>
    </row>
    <row r="219" spans="1:10" ht="12.75">
      <c r="A219" s="62"/>
      <c r="B219" s="78"/>
      <c r="C219" s="31"/>
      <c r="D219" s="75"/>
      <c r="E219" s="75"/>
      <c r="F219" s="77"/>
      <c r="G219" s="75"/>
      <c r="H219" s="77"/>
      <c r="I219" s="75"/>
      <c r="J219" s="77"/>
    </row>
    <row r="220" spans="1:10" ht="12.75">
      <c r="A220" s="62"/>
      <c r="B220" s="80"/>
      <c r="C220" s="32"/>
      <c r="D220" s="75"/>
      <c r="E220" s="75"/>
      <c r="F220" s="76"/>
      <c r="G220" s="75"/>
      <c r="H220" s="77"/>
      <c r="I220" s="75"/>
      <c r="J220" s="77"/>
    </row>
    <row r="221" spans="1:10" ht="12.75">
      <c r="B221" s="73"/>
      <c r="C221" s="74"/>
      <c r="D221" s="75"/>
      <c r="E221" s="75"/>
      <c r="F221" s="77"/>
      <c r="G221" s="75"/>
      <c r="H221" s="77"/>
      <c r="I221" s="75"/>
      <c r="J221" s="77"/>
    </row>
    <row r="222" spans="1:10" ht="12.75">
      <c r="A222" s="62"/>
      <c r="B222" s="73"/>
      <c r="C222" s="74"/>
      <c r="D222" s="75"/>
      <c r="E222" s="75"/>
      <c r="F222" s="77"/>
      <c r="G222" s="75"/>
      <c r="H222" s="77"/>
      <c r="I222" s="75"/>
      <c r="J222" s="77"/>
    </row>
    <row r="223" spans="1:10" ht="12.75">
      <c r="A223" s="62"/>
      <c r="B223" s="73"/>
      <c r="C223" s="74"/>
      <c r="D223" s="75"/>
      <c r="E223" s="75"/>
      <c r="F223" s="77"/>
      <c r="G223" s="75"/>
      <c r="H223" s="77"/>
      <c r="I223" s="75"/>
      <c r="J223" s="77"/>
    </row>
    <row r="224" spans="1:10" ht="12.75">
      <c r="A224" s="62"/>
      <c r="B224" s="73"/>
      <c r="C224" s="74"/>
      <c r="D224" s="75"/>
      <c r="E224" s="75"/>
      <c r="F224" s="77"/>
      <c r="G224" s="75"/>
      <c r="H224" s="77"/>
      <c r="I224" s="75"/>
      <c r="J224" s="77"/>
    </row>
    <row r="225" spans="1:11" ht="12.75">
      <c r="A225" s="62"/>
      <c r="B225" s="73"/>
      <c r="C225" s="74"/>
      <c r="D225" s="75"/>
      <c r="E225" s="75"/>
      <c r="F225" s="77"/>
      <c r="G225" s="75"/>
      <c r="H225" s="77"/>
      <c r="I225" s="75"/>
      <c r="J225" s="77"/>
    </row>
    <row r="226" spans="1:11" ht="12.75">
      <c r="A226" s="62"/>
      <c r="B226" s="73"/>
      <c r="C226" s="74"/>
      <c r="D226" s="75"/>
      <c r="E226" s="75"/>
      <c r="F226" s="77"/>
      <c r="G226" s="75"/>
      <c r="H226" s="77"/>
      <c r="I226" s="75"/>
      <c r="J226" s="77"/>
    </row>
    <row r="227" spans="1:11" ht="12.75">
      <c r="A227" s="81"/>
      <c r="B227" s="82"/>
      <c r="C227" s="83"/>
      <c r="D227" s="84"/>
      <c r="E227" s="84"/>
      <c r="F227" s="85"/>
      <c r="G227" s="84"/>
      <c r="H227" s="85"/>
      <c r="I227" s="84"/>
      <c r="J227" s="85"/>
      <c r="K227" s="86"/>
    </row>
    <row r="228" spans="1:11" ht="12.75">
      <c r="A228" s="62"/>
      <c r="B228" s="73"/>
      <c r="C228" s="74"/>
      <c r="D228" s="75"/>
      <c r="E228" s="75"/>
      <c r="F228" s="77"/>
      <c r="G228" s="75"/>
      <c r="H228" s="77"/>
      <c r="I228" s="75"/>
      <c r="J228" s="77"/>
    </row>
    <row r="229" spans="1:11" ht="12.75">
      <c r="A229" s="62"/>
      <c r="B229" s="73"/>
      <c r="C229" s="74"/>
      <c r="D229" s="75"/>
      <c r="E229" s="75"/>
      <c r="F229" s="77"/>
      <c r="G229" s="75"/>
      <c r="H229" s="77"/>
      <c r="I229" s="75"/>
      <c r="J229" s="77"/>
    </row>
    <row r="230" spans="1:11" ht="12.75">
      <c r="A230" s="62"/>
      <c r="B230" s="73"/>
      <c r="C230" s="74"/>
      <c r="D230" s="75"/>
      <c r="E230" s="75"/>
      <c r="F230" s="77"/>
      <c r="G230" s="75"/>
      <c r="H230" s="77"/>
      <c r="I230" s="75"/>
      <c r="J230" s="77"/>
    </row>
    <row r="231" spans="1:11" ht="12.75">
      <c r="A231" s="62"/>
      <c r="B231" s="73"/>
      <c r="C231" s="74"/>
      <c r="D231" s="75"/>
      <c r="E231" s="75"/>
      <c r="F231" s="77"/>
      <c r="G231" s="75"/>
      <c r="H231" s="77"/>
      <c r="I231" s="75"/>
      <c r="J231" s="77"/>
    </row>
    <row r="232" spans="1:11" ht="12.75">
      <c r="A232" s="62"/>
      <c r="B232" s="73"/>
      <c r="C232" s="74"/>
      <c r="D232" s="75"/>
      <c r="E232" s="75"/>
      <c r="F232" s="77"/>
      <c r="G232" s="75"/>
      <c r="H232" s="77"/>
      <c r="I232" s="75"/>
      <c r="J232" s="77"/>
    </row>
    <row r="233" spans="1:11" ht="12.75">
      <c r="A233" s="62"/>
      <c r="B233" s="73"/>
      <c r="C233" s="74"/>
      <c r="D233" s="75"/>
      <c r="E233" s="75"/>
      <c r="F233" s="77"/>
      <c r="G233" s="75"/>
      <c r="H233" s="77"/>
      <c r="I233" s="75"/>
      <c r="J233" s="77"/>
    </row>
    <row r="234" spans="1:11" ht="12.75">
      <c r="A234" s="62"/>
      <c r="B234" s="73"/>
      <c r="C234" s="74"/>
      <c r="D234" s="75"/>
      <c r="E234" s="75"/>
      <c r="F234" s="77"/>
      <c r="G234" s="75"/>
      <c r="H234" s="77"/>
      <c r="I234" s="75"/>
      <c r="J234" s="77"/>
    </row>
    <row r="235" spans="1:11" ht="12.75">
      <c r="A235" s="62"/>
      <c r="B235" s="73"/>
      <c r="C235" s="74"/>
      <c r="D235" s="75"/>
      <c r="E235" s="75"/>
      <c r="F235" s="77"/>
      <c r="G235" s="75"/>
      <c r="H235" s="77"/>
      <c r="I235" s="75"/>
      <c r="J235" s="77"/>
    </row>
    <row r="236" spans="1:11" ht="12.75">
      <c r="A236" s="62"/>
      <c r="B236" s="73"/>
      <c r="C236" s="74"/>
      <c r="D236" s="75"/>
      <c r="E236" s="75"/>
      <c r="F236" s="77"/>
      <c r="G236" s="75"/>
      <c r="H236" s="77"/>
      <c r="I236" s="75"/>
      <c r="J236" s="77"/>
    </row>
    <row r="237" spans="1:11" ht="12.75">
      <c r="A237" s="62"/>
      <c r="B237" s="73"/>
      <c r="C237" s="74"/>
      <c r="D237" s="75"/>
      <c r="E237" s="75"/>
      <c r="F237" s="77"/>
      <c r="G237" s="75"/>
      <c r="H237" s="77"/>
      <c r="I237" s="75"/>
      <c r="J237" s="77"/>
    </row>
    <row r="238" spans="1:11" ht="12.75">
      <c r="A238" s="62"/>
      <c r="B238" s="73"/>
      <c r="C238" s="74"/>
      <c r="D238" s="75"/>
      <c r="E238" s="75"/>
      <c r="F238" s="77"/>
      <c r="G238" s="75"/>
      <c r="H238" s="77"/>
      <c r="I238" s="75"/>
      <c r="J238" s="77"/>
    </row>
    <row r="239" spans="1:11" ht="12.75">
      <c r="A239" s="62"/>
      <c r="B239" s="73"/>
      <c r="C239" s="74"/>
      <c r="D239" s="75"/>
      <c r="E239" s="75"/>
      <c r="F239" s="77"/>
      <c r="G239" s="75"/>
      <c r="H239" s="77"/>
      <c r="I239" s="75"/>
      <c r="J239" s="77"/>
    </row>
    <row r="240" spans="1:11" ht="12.75">
      <c r="A240" s="62"/>
      <c r="B240" s="73"/>
      <c r="C240" s="74"/>
      <c r="D240" s="75"/>
      <c r="E240" s="75"/>
      <c r="F240" s="77"/>
      <c r="G240" s="75"/>
      <c r="H240" s="77"/>
      <c r="I240" s="75"/>
      <c r="J240" s="77"/>
    </row>
    <row r="241" spans="1:10" ht="12.75">
      <c r="A241" s="62"/>
      <c r="B241" s="73"/>
      <c r="C241" s="74"/>
      <c r="D241" s="75"/>
      <c r="E241" s="75"/>
      <c r="F241" s="77"/>
      <c r="G241" s="75"/>
      <c r="H241" s="77"/>
      <c r="I241" s="75"/>
      <c r="J241" s="77"/>
    </row>
    <row r="242" spans="1:10" ht="12.75">
      <c r="A242" s="62"/>
      <c r="B242" s="73"/>
      <c r="C242" s="74"/>
      <c r="D242" s="75"/>
      <c r="E242" s="75"/>
      <c r="F242" s="77"/>
      <c r="G242" s="75"/>
      <c r="H242" s="77"/>
      <c r="I242" s="75"/>
      <c r="J242" s="77"/>
    </row>
    <row r="243" spans="1:10" ht="12.75">
      <c r="A243" s="62" t="s">
        <v>254</v>
      </c>
      <c r="B243" s="73"/>
      <c r="C243" s="74"/>
      <c r="D243" s="75"/>
      <c r="E243" s="75"/>
      <c r="F243" s="77"/>
      <c r="G243" s="75"/>
      <c r="H243" s="77"/>
      <c r="I243" s="75"/>
      <c r="J243" s="77">
        <f>SUM(J214:J241)</f>
        <v>2922199</v>
      </c>
    </row>
    <row r="244" spans="1:10" ht="12.75">
      <c r="A244" s="63"/>
      <c r="B244" s="73"/>
      <c r="C244" s="74"/>
      <c r="D244" s="75"/>
      <c r="E244" s="75"/>
      <c r="F244" s="77"/>
      <c r="G244" s="75"/>
      <c r="H244" s="77"/>
      <c r="I244" s="75"/>
      <c r="J244" s="77"/>
    </row>
    <row r="245" spans="1:10" ht="12.75">
      <c r="A245" s="63"/>
      <c r="B245" s="87"/>
      <c r="C245" s="88"/>
      <c r="D245" s="89"/>
      <c r="E245" s="89"/>
      <c r="F245" s="90"/>
      <c r="G245" s="89"/>
      <c r="H245" s="90"/>
      <c r="I245" s="89"/>
      <c r="J245" s="90"/>
    </row>
    <row r="246" spans="1:10" ht="12.75"/>
    <row r="247" spans="1:10" ht="12.75"/>
    <row r="248" spans="1:10" ht="12.75">
      <c r="A248" s="27" t="s">
        <v>223</v>
      </c>
      <c r="B248" s="27"/>
      <c r="C248" s="27"/>
      <c r="D248" s="27"/>
      <c r="E248" s="27"/>
      <c r="F248" s="27"/>
    </row>
    <row r="249" spans="1:10" ht="12.75">
      <c r="F249" s="36" t="s">
        <v>119</v>
      </c>
    </row>
    <row r="250" spans="1:10" ht="12.75"/>
    <row r="251" spans="1:10" ht="12.75">
      <c r="A251" s="62" t="s">
        <v>224</v>
      </c>
      <c r="B251" s="62" t="s">
        <v>1</v>
      </c>
      <c r="C251" s="62"/>
      <c r="D251" s="62"/>
      <c r="E251" s="62"/>
      <c r="F251" s="62"/>
      <c r="G251" s="63" t="s">
        <v>119</v>
      </c>
      <c r="H251" s="62" t="s">
        <v>225</v>
      </c>
      <c r="I251" s="64" t="s">
        <v>226</v>
      </c>
      <c r="J251" s="63"/>
    </row>
    <row r="252" spans="1:10" ht="12.75">
      <c r="A252" s="62" t="s">
        <v>227</v>
      </c>
      <c r="B252" s="65">
        <v>45979</v>
      </c>
      <c r="C252" s="62"/>
      <c r="D252" s="62"/>
      <c r="E252" s="62"/>
      <c r="F252" s="62"/>
      <c r="G252" s="63"/>
      <c r="H252" s="62" t="s">
        <v>228</v>
      </c>
      <c r="I252" s="66" t="s">
        <v>115</v>
      </c>
      <c r="J252" s="63"/>
    </row>
    <row r="253" spans="1:10" ht="12.75">
      <c r="A253" s="62"/>
      <c r="B253" s="62"/>
      <c r="C253" s="62"/>
      <c r="D253" s="62"/>
      <c r="E253" s="62"/>
      <c r="F253" s="62"/>
      <c r="G253" s="63"/>
      <c r="H253" s="63"/>
      <c r="I253" s="63"/>
      <c r="J253" s="63"/>
    </row>
    <row r="254" spans="1:10" ht="12.75">
      <c r="A254" s="62"/>
      <c r="B254" s="67" t="s">
        <v>229</v>
      </c>
      <c r="C254" s="67" t="s">
        <v>230</v>
      </c>
      <c r="D254" s="67" t="s">
        <v>231</v>
      </c>
      <c r="E254" s="67" t="s">
        <v>232</v>
      </c>
      <c r="F254" s="67" t="s">
        <v>233</v>
      </c>
      <c r="G254" s="67" t="s">
        <v>234</v>
      </c>
      <c r="H254" s="67" t="s">
        <v>235</v>
      </c>
      <c r="I254" s="67" t="s">
        <v>236</v>
      </c>
      <c r="J254" s="67" t="s">
        <v>235</v>
      </c>
    </row>
    <row r="255" spans="1:10" ht="12.75">
      <c r="A255" s="62"/>
      <c r="B255" s="68"/>
      <c r="C255" s="69"/>
      <c r="D255" s="70"/>
      <c r="E255" s="70"/>
      <c r="F255" s="71"/>
      <c r="G255" s="70"/>
      <c r="H255" s="71"/>
      <c r="I255" s="70"/>
      <c r="J255" s="72" t="s">
        <v>119</v>
      </c>
    </row>
    <row r="256" spans="1:10" ht="12.75">
      <c r="B256" s="73">
        <v>1</v>
      </c>
      <c r="C256" s="74" t="s">
        <v>237</v>
      </c>
      <c r="D256" s="75" t="s">
        <v>238</v>
      </c>
      <c r="E256" s="75"/>
      <c r="F256" s="76">
        <v>45979</v>
      </c>
      <c r="G256" s="75" t="s">
        <v>131</v>
      </c>
      <c r="H256" s="77">
        <v>6677557</v>
      </c>
      <c r="I256" s="75" t="s">
        <v>119</v>
      </c>
      <c r="J256" s="77" t="s">
        <v>119</v>
      </c>
    </row>
    <row r="257" spans="1:11" ht="12.75">
      <c r="A257" s="62"/>
      <c r="B257" s="73"/>
      <c r="C257" s="74"/>
      <c r="D257" s="75"/>
      <c r="E257" s="75"/>
      <c r="F257" s="77"/>
      <c r="G257" s="75"/>
      <c r="H257" s="77"/>
      <c r="I257" s="75"/>
      <c r="J257" s="77"/>
    </row>
    <row r="258" spans="1:11" ht="12.75">
      <c r="B258" s="78" t="s">
        <v>119</v>
      </c>
      <c r="C258" s="31" t="s">
        <v>119</v>
      </c>
      <c r="D258" s="75" t="s">
        <v>119</v>
      </c>
      <c r="E258" s="75" t="s">
        <v>119</v>
      </c>
      <c r="F258" s="76" t="s">
        <v>119</v>
      </c>
      <c r="G258" s="75" t="s">
        <v>119</v>
      </c>
      <c r="H258" s="77" t="s">
        <v>119</v>
      </c>
      <c r="I258" s="75" t="s">
        <v>119</v>
      </c>
      <c r="J258" s="77" t="s">
        <v>119</v>
      </c>
    </row>
    <row r="259" spans="1:11" ht="12.75">
      <c r="B259" s="78"/>
      <c r="C259" s="31"/>
      <c r="D259" s="75"/>
      <c r="E259" s="75"/>
      <c r="F259" s="77"/>
      <c r="G259" s="75"/>
      <c r="H259" s="77"/>
      <c r="I259" s="75"/>
      <c r="J259" s="77"/>
    </row>
    <row r="260" spans="1:11" ht="12.75">
      <c r="A260" s="62"/>
      <c r="B260" s="78" t="s">
        <v>119</v>
      </c>
      <c r="C260" s="79" t="s">
        <v>119</v>
      </c>
      <c r="D260" s="75" t="s">
        <v>119</v>
      </c>
      <c r="E260" s="75" t="s">
        <v>119</v>
      </c>
      <c r="F260" s="76" t="s">
        <v>119</v>
      </c>
      <c r="G260" s="75" t="s">
        <v>119</v>
      </c>
      <c r="H260" s="77" t="s">
        <v>119</v>
      </c>
      <c r="I260" s="75" t="s">
        <v>119</v>
      </c>
      <c r="J260" s="77" t="s">
        <v>119</v>
      </c>
    </row>
    <row r="261" spans="1:11" ht="12.75">
      <c r="A261" s="62"/>
      <c r="B261" s="78"/>
      <c r="C261" s="31"/>
      <c r="D261" s="75"/>
      <c r="E261" s="75"/>
      <c r="F261" s="77"/>
      <c r="G261" s="75"/>
      <c r="H261" s="77"/>
      <c r="I261" s="75"/>
      <c r="J261" s="77"/>
    </row>
    <row r="262" spans="1:11" ht="12.75">
      <c r="A262" s="62"/>
      <c r="B262" s="80"/>
      <c r="C262" s="32"/>
      <c r="D262" s="75"/>
      <c r="E262" s="75"/>
      <c r="F262" s="76"/>
      <c r="G262" s="75"/>
      <c r="H262" s="77"/>
      <c r="I262" s="75"/>
      <c r="J262" s="77"/>
    </row>
    <row r="263" spans="1:11" ht="12.75">
      <c r="B263" s="73"/>
      <c r="C263" s="74"/>
      <c r="D263" s="75"/>
      <c r="E263" s="75"/>
      <c r="F263" s="77"/>
      <c r="G263" s="75"/>
      <c r="H263" s="77"/>
      <c r="I263" s="75"/>
      <c r="J263" s="77"/>
    </row>
    <row r="264" spans="1:11" ht="12.75">
      <c r="A264" s="62"/>
      <c r="B264" s="73"/>
      <c r="C264" s="74"/>
      <c r="D264" s="75"/>
      <c r="E264" s="75"/>
      <c r="F264" s="77"/>
      <c r="G264" s="75"/>
      <c r="H264" s="77"/>
      <c r="I264" s="75"/>
      <c r="J264" s="77"/>
    </row>
    <row r="265" spans="1:11" ht="12.75">
      <c r="A265" s="62"/>
      <c r="B265" s="73"/>
      <c r="C265" s="74"/>
      <c r="D265" s="75"/>
      <c r="E265" s="75"/>
      <c r="F265" s="77"/>
      <c r="G265" s="75"/>
      <c r="H265" s="77"/>
      <c r="I265" s="75"/>
      <c r="J265" s="77"/>
    </row>
    <row r="266" spans="1:11" ht="12.75">
      <c r="A266" s="62"/>
      <c r="B266" s="73"/>
      <c r="C266" s="74"/>
      <c r="D266" s="75"/>
      <c r="E266" s="75"/>
      <c r="F266" s="77"/>
      <c r="G266" s="75"/>
      <c r="H266" s="77"/>
      <c r="I266" s="75"/>
      <c r="J266" s="77"/>
    </row>
    <row r="267" spans="1:11" ht="12.75">
      <c r="A267" s="62"/>
      <c r="B267" s="73"/>
      <c r="C267" s="74"/>
      <c r="D267" s="75"/>
      <c r="E267" s="75"/>
      <c r="F267" s="77"/>
      <c r="G267" s="75"/>
      <c r="H267" s="77"/>
      <c r="I267" s="75"/>
      <c r="J267" s="77"/>
    </row>
    <row r="268" spans="1:11" ht="12.75">
      <c r="A268" s="62"/>
      <c r="B268" s="73"/>
      <c r="C268" s="74"/>
      <c r="D268" s="75"/>
      <c r="E268" s="75"/>
      <c r="F268" s="77"/>
      <c r="G268" s="75"/>
      <c r="H268" s="77"/>
      <c r="I268" s="75"/>
      <c r="J268" s="77"/>
    </row>
    <row r="269" spans="1:11" ht="12.75">
      <c r="A269" s="81"/>
      <c r="B269" s="82"/>
      <c r="C269" s="83"/>
      <c r="D269" s="84"/>
      <c r="E269" s="84"/>
      <c r="F269" s="85"/>
      <c r="G269" s="84"/>
      <c r="H269" s="85"/>
      <c r="I269" s="84"/>
      <c r="J269" s="85"/>
      <c r="K269" s="86"/>
    </row>
    <row r="270" spans="1:11" ht="12.75">
      <c r="A270" s="62"/>
      <c r="B270" s="73"/>
      <c r="C270" s="74"/>
      <c r="D270" s="75"/>
      <c r="E270" s="75"/>
      <c r="F270" s="77"/>
      <c r="G270" s="75"/>
      <c r="H270" s="77"/>
      <c r="I270" s="75"/>
      <c r="J270" s="77"/>
    </row>
    <row r="271" spans="1:11" ht="12.75">
      <c r="A271" s="62"/>
      <c r="B271" s="73"/>
      <c r="C271" s="74"/>
      <c r="D271" s="75"/>
      <c r="E271" s="75"/>
      <c r="F271" s="77"/>
      <c r="G271" s="75"/>
      <c r="H271" s="77"/>
      <c r="I271" s="75"/>
      <c r="J271" s="77"/>
    </row>
    <row r="272" spans="1:11" ht="12.75">
      <c r="A272" s="62"/>
      <c r="B272" s="73"/>
      <c r="C272" s="74"/>
      <c r="D272" s="75"/>
      <c r="E272" s="75"/>
      <c r="F272" s="77"/>
      <c r="G272" s="75"/>
      <c r="H272" s="77"/>
      <c r="I272" s="75"/>
      <c r="J272" s="77"/>
    </row>
    <row r="273" spans="1:10" ht="12.75">
      <c r="A273" s="62"/>
      <c r="B273" s="73"/>
      <c r="C273" s="74"/>
      <c r="D273" s="75"/>
      <c r="E273" s="75"/>
      <c r="F273" s="77"/>
      <c r="G273" s="75"/>
      <c r="H273" s="77"/>
      <c r="I273" s="75"/>
      <c r="J273" s="77"/>
    </row>
    <row r="274" spans="1:10" ht="12.75">
      <c r="A274" s="62"/>
      <c r="B274" s="73"/>
      <c r="C274" s="74"/>
      <c r="D274" s="75"/>
      <c r="E274" s="75"/>
      <c r="F274" s="77"/>
      <c r="G274" s="75"/>
      <c r="H274" s="77"/>
      <c r="I274" s="75"/>
      <c r="J274" s="77"/>
    </row>
    <row r="275" spans="1:10" ht="12.75">
      <c r="A275" s="62"/>
      <c r="B275" s="73"/>
      <c r="C275" s="74"/>
      <c r="D275" s="75"/>
      <c r="E275" s="75"/>
      <c r="F275" s="77"/>
      <c r="G275" s="75"/>
      <c r="H275" s="77"/>
      <c r="I275" s="75"/>
      <c r="J275" s="77"/>
    </row>
    <row r="276" spans="1:10" ht="12.75">
      <c r="A276" s="62"/>
      <c r="B276" s="73"/>
      <c r="C276" s="74"/>
      <c r="D276" s="75"/>
      <c r="E276" s="75"/>
      <c r="F276" s="77"/>
      <c r="G276" s="75"/>
      <c r="H276" s="77"/>
      <c r="I276" s="75"/>
      <c r="J276" s="77"/>
    </row>
    <row r="277" spans="1:10" ht="12.75">
      <c r="A277" s="62"/>
      <c r="B277" s="73"/>
      <c r="C277" s="74"/>
      <c r="D277" s="75"/>
      <c r="E277" s="75"/>
      <c r="F277" s="77"/>
      <c r="G277" s="75"/>
      <c r="H277" s="77"/>
      <c r="I277" s="75"/>
      <c r="J277" s="77"/>
    </row>
    <row r="278" spans="1:10" ht="12.75">
      <c r="A278" s="62"/>
      <c r="B278" s="73"/>
      <c r="C278" s="74"/>
      <c r="D278" s="75"/>
      <c r="E278" s="75"/>
      <c r="F278" s="77"/>
      <c r="G278" s="75"/>
      <c r="H278" s="77"/>
      <c r="I278" s="75"/>
      <c r="J278" s="77"/>
    </row>
    <row r="279" spans="1:10" ht="12.75">
      <c r="A279" s="62"/>
      <c r="B279" s="73"/>
      <c r="C279" s="74"/>
      <c r="D279" s="75"/>
      <c r="E279" s="75"/>
      <c r="F279" s="77"/>
      <c r="G279" s="75"/>
      <c r="H279" s="77"/>
      <c r="I279" s="75"/>
      <c r="J279" s="77"/>
    </row>
    <row r="280" spans="1:10" ht="12.75">
      <c r="A280" s="62"/>
      <c r="B280" s="73"/>
      <c r="C280" s="74"/>
      <c r="D280" s="75"/>
      <c r="E280" s="75"/>
      <c r="F280" s="77"/>
      <c r="G280" s="75"/>
      <c r="H280" s="77"/>
      <c r="I280" s="75"/>
      <c r="J280" s="77"/>
    </row>
    <row r="281" spans="1:10" ht="12.75">
      <c r="A281" s="62"/>
      <c r="B281" s="73"/>
      <c r="C281" s="74"/>
      <c r="D281" s="75"/>
      <c r="E281" s="75"/>
      <c r="F281" s="77"/>
      <c r="G281" s="75"/>
      <c r="H281" s="77"/>
      <c r="I281" s="75"/>
      <c r="J281" s="77"/>
    </row>
    <row r="282" spans="1:10" ht="12.75">
      <c r="A282" s="62"/>
      <c r="B282" s="73"/>
      <c r="C282" s="74"/>
      <c r="D282" s="75"/>
      <c r="E282" s="75"/>
      <c r="F282" s="77"/>
      <c r="G282" s="75"/>
      <c r="H282" s="77"/>
      <c r="I282" s="75"/>
      <c r="J282" s="77"/>
    </row>
    <row r="283" spans="1:10" ht="12.75">
      <c r="A283" s="62"/>
      <c r="B283" s="73"/>
      <c r="C283" s="74"/>
      <c r="D283" s="75"/>
      <c r="E283" s="75"/>
      <c r="F283" s="77"/>
      <c r="G283" s="75"/>
      <c r="H283" s="77"/>
      <c r="I283" s="75"/>
      <c r="J283" s="77"/>
    </row>
    <row r="284" spans="1:10" ht="12.75">
      <c r="A284" s="62"/>
      <c r="B284" s="73"/>
      <c r="C284" s="74"/>
      <c r="D284" s="75"/>
      <c r="E284" s="75"/>
      <c r="F284" s="77"/>
      <c r="G284" s="75"/>
      <c r="H284" s="77"/>
      <c r="I284" s="75"/>
      <c r="J284" s="77"/>
    </row>
    <row r="285" spans="1:10" ht="12.75">
      <c r="A285" s="62" t="s">
        <v>239</v>
      </c>
      <c r="B285" s="73"/>
      <c r="C285" s="74"/>
      <c r="D285" s="75"/>
      <c r="E285" s="75"/>
      <c r="F285" s="77"/>
      <c r="G285" s="75"/>
      <c r="H285" s="77">
        <f>SUM(H256:H284)</f>
        <v>6677557</v>
      </c>
      <c r="I285" s="75"/>
      <c r="J285" s="77">
        <f>SUM(J256:J283)</f>
        <v>0</v>
      </c>
    </row>
    <row r="286" spans="1:10" ht="12.75">
      <c r="A286" s="63"/>
      <c r="B286" s="73"/>
      <c r="C286" s="74"/>
      <c r="D286" s="75"/>
      <c r="E286" s="75"/>
      <c r="F286" s="77"/>
      <c r="G286" s="75"/>
      <c r="H286" s="77"/>
      <c r="I286" s="75"/>
      <c r="J286" s="77"/>
    </row>
    <row r="287" spans="1:10" ht="12.75">
      <c r="A287" s="63"/>
      <c r="B287" s="87"/>
      <c r="C287" s="88"/>
      <c r="D287" s="89"/>
      <c r="E287" s="89"/>
      <c r="F287" s="90"/>
      <c r="G287" s="89"/>
      <c r="H287" s="90"/>
      <c r="I287" s="89"/>
      <c r="J287" s="90"/>
    </row>
    <row r="288" spans="1:10" ht="12.75"/>
    <row r="289" spans="1:10" ht="12.75"/>
    <row r="290" spans="1:10" ht="12.75">
      <c r="A290" s="27" t="s">
        <v>240</v>
      </c>
      <c r="B290" s="27"/>
      <c r="C290" s="27"/>
      <c r="D290" s="27"/>
      <c r="E290" s="27"/>
      <c r="F290" s="27"/>
    </row>
    <row r="291" spans="1:10" ht="12.75"/>
    <row r="292" spans="1:10" ht="12.75"/>
    <row r="293" spans="1:10" ht="12.75">
      <c r="A293" s="62" t="s">
        <v>224</v>
      </c>
      <c r="B293" s="62" t="s">
        <v>1</v>
      </c>
      <c r="C293" s="62"/>
      <c r="D293" s="62"/>
      <c r="E293" s="62"/>
      <c r="F293" s="62"/>
      <c r="G293" s="63" t="s">
        <v>119</v>
      </c>
      <c r="H293" s="62" t="s">
        <v>241</v>
      </c>
      <c r="I293" s="62" t="s">
        <v>255</v>
      </c>
      <c r="J293" s="63"/>
    </row>
    <row r="294" spans="1:10" ht="12.75">
      <c r="A294" s="62" t="s">
        <v>227</v>
      </c>
      <c r="B294" s="65">
        <v>45979</v>
      </c>
      <c r="C294" s="62"/>
      <c r="D294" s="62"/>
      <c r="E294" s="62"/>
      <c r="F294" s="62"/>
      <c r="G294" s="63"/>
      <c r="H294" s="62" t="s">
        <v>228</v>
      </c>
      <c r="I294" s="62" t="s">
        <v>136</v>
      </c>
      <c r="J294" s="63"/>
    </row>
    <row r="295" spans="1:10" ht="12.75">
      <c r="A295" s="62"/>
      <c r="B295" s="62"/>
      <c r="C295" s="62"/>
      <c r="D295" s="62"/>
      <c r="E295" s="62"/>
      <c r="F295" s="62"/>
      <c r="G295" s="63"/>
      <c r="H295" s="63"/>
      <c r="I295" s="63"/>
      <c r="J295" s="63"/>
    </row>
    <row r="296" spans="1:10" ht="12.75">
      <c r="A296" s="62"/>
      <c r="B296" s="67" t="s">
        <v>229</v>
      </c>
      <c r="C296" s="67" t="s">
        <v>230</v>
      </c>
      <c r="D296" s="67" t="s">
        <v>231</v>
      </c>
      <c r="E296" s="67" t="s">
        <v>232</v>
      </c>
      <c r="F296" s="67" t="s">
        <v>233</v>
      </c>
      <c r="G296" s="67" t="s">
        <v>234</v>
      </c>
      <c r="H296" s="67" t="s">
        <v>235</v>
      </c>
      <c r="I296" s="67" t="s">
        <v>236</v>
      </c>
      <c r="J296" s="67" t="s">
        <v>235</v>
      </c>
    </row>
    <row r="297" spans="1:10" ht="12.75">
      <c r="A297" s="62"/>
      <c r="B297" s="92"/>
      <c r="C297" s="69"/>
      <c r="D297" s="70"/>
      <c r="E297" s="70"/>
      <c r="F297" s="71"/>
      <c r="G297" s="70"/>
      <c r="H297" s="71"/>
      <c r="I297" s="100"/>
      <c r="J297" s="96"/>
    </row>
    <row r="298" spans="1:10" ht="12.75">
      <c r="B298" s="93">
        <v>1</v>
      </c>
      <c r="C298" s="32" t="s">
        <v>237</v>
      </c>
      <c r="D298" s="75" t="s">
        <v>238</v>
      </c>
      <c r="E298" s="75"/>
      <c r="F298" s="76">
        <v>45979</v>
      </c>
      <c r="G298" s="75"/>
      <c r="H298" s="77"/>
      <c r="I298" s="101" t="s">
        <v>138</v>
      </c>
      <c r="J298" s="97">
        <v>6677557</v>
      </c>
    </row>
    <row r="299" spans="1:10" ht="12.75">
      <c r="B299" s="93"/>
      <c r="C299" s="32"/>
      <c r="D299" s="75"/>
      <c r="E299" s="75"/>
      <c r="F299" s="76"/>
      <c r="G299" s="75"/>
      <c r="H299" s="77"/>
      <c r="I299" s="101"/>
      <c r="J299" s="97"/>
    </row>
    <row r="300" spans="1:10" ht="12.75">
      <c r="B300" s="93"/>
      <c r="C300" s="32"/>
      <c r="D300" s="75"/>
      <c r="E300" s="75"/>
      <c r="F300" s="76"/>
      <c r="G300" s="75"/>
      <c r="H300" s="77"/>
      <c r="I300" s="101"/>
      <c r="J300" s="97"/>
    </row>
    <row r="301" spans="1:10" ht="12.75">
      <c r="B301" s="93"/>
      <c r="C301" s="32"/>
      <c r="D301" s="75"/>
      <c r="E301" s="75"/>
      <c r="F301" s="91"/>
      <c r="G301" s="75"/>
      <c r="H301" s="77"/>
      <c r="I301" s="101"/>
      <c r="J301" s="97"/>
    </row>
    <row r="302" spans="1:10" ht="12.75">
      <c r="A302" s="62"/>
      <c r="B302" s="93"/>
      <c r="C302" s="32"/>
      <c r="D302" s="75"/>
      <c r="E302" s="75"/>
      <c r="F302" s="76"/>
      <c r="G302" s="75"/>
      <c r="H302" s="77"/>
      <c r="I302" s="101"/>
      <c r="J302" s="97"/>
    </row>
    <row r="303" spans="1:10" ht="12.75">
      <c r="A303" s="62"/>
      <c r="B303" s="93"/>
      <c r="C303" s="32"/>
      <c r="D303" s="75"/>
      <c r="E303" s="75"/>
      <c r="F303" s="76"/>
      <c r="G303" s="75"/>
      <c r="H303" s="77"/>
      <c r="I303" s="101"/>
      <c r="J303" s="97"/>
    </row>
    <row r="304" spans="1:10" ht="12.75">
      <c r="A304" s="62"/>
      <c r="B304" s="93"/>
      <c r="C304" s="32"/>
      <c r="D304" s="75"/>
      <c r="E304" s="75"/>
      <c r="F304" s="76"/>
      <c r="G304" s="75"/>
      <c r="H304" s="77"/>
      <c r="I304" s="101"/>
      <c r="J304" s="97"/>
    </row>
    <row r="305" spans="1:10" ht="12.75">
      <c r="A305" s="62"/>
      <c r="B305" s="93"/>
      <c r="C305" s="32"/>
      <c r="D305" s="75"/>
      <c r="E305" s="75"/>
      <c r="F305" s="91"/>
      <c r="G305" s="75"/>
      <c r="H305" s="77"/>
      <c r="I305" s="101"/>
      <c r="J305" s="97"/>
    </row>
    <row r="306" spans="1:10" ht="12.75">
      <c r="B306" s="93"/>
      <c r="C306" s="32"/>
      <c r="D306" s="75"/>
      <c r="E306" s="75"/>
      <c r="F306" s="76"/>
      <c r="G306" s="75"/>
      <c r="H306" s="77"/>
      <c r="I306" s="101"/>
      <c r="J306" s="97"/>
    </row>
    <row r="307" spans="1:10" ht="12.75">
      <c r="B307" s="93"/>
      <c r="C307" s="32"/>
      <c r="D307" s="75"/>
      <c r="E307" s="75"/>
      <c r="F307" s="76"/>
      <c r="G307" s="75"/>
      <c r="H307" s="77"/>
      <c r="I307" s="101"/>
      <c r="J307" s="97"/>
    </row>
    <row r="308" spans="1:10" ht="12.75">
      <c r="B308" s="93"/>
      <c r="C308" s="32"/>
      <c r="D308" s="75"/>
      <c r="E308" s="75"/>
      <c r="F308" s="76"/>
      <c r="G308" s="75"/>
      <c r="H308" s="77"/>
      <c r="I308" s="101"/>
      <c r="J308" s="97"/>
    </row>
    <row r="309" spans="1:10" ht="12.75">
      <c r="B309" s="93"/>
      <c r="C309" s="32"/>
      <c r="D309" s="75"/>
      <c r="E309" s="75"/>
      <c r="F309" s="91"/>
      <c r="G309" s="75"/>
      <c r="H309" s="77"/>
      <c r="I309" s="101"/>
      <c r="J309" s="97"/>
    </row>
    <row r="310" spans="1:10" ht="12.75">
      <c r="A310" s="62"/>
      <c r="B310" s="93"/>
      <c r="C310" s="32"/>
      <c r="D310" s="75"/>
      <c r="E310" s="75"/>
      <c r="F310" s="76"/>
      <c r="G310" s="75"/>
      <c r="H310" s="77"/>
      <c r="I310" s="101"/>
      <c r="J310" s="97"/>
    </row>
    <row r="311" spans="1:10" ht="12.75">
      <c r="A311" s="62"/>
      <c r="B311" s="93"/>
      <c r="C311" s="32"/>
      <c r="D311" s="75"/>
      <c r="E311" s="75"/>
      <c r="F311" s="76"/>
      <c r="G311" s="75"/>
      <c r="H311" s="77"/>
      <c r="I311" s="101"/>
      <c r="J311" s="97"/>
    </row>
    <row r="312" spans="1:10" ht="12.75">
      <c r="A312" s="62"/>
      <c r="B312" s="93"/>
      <c r="C312" s="32"/>
      <c r="D312" s="75"/>
      <c r="E312" s="75"/>
      <c r="F312" s="76"/>
      <c r="G312" s="75"/>
      <c r="H312" s="77"/>
      <c r="I312" s="101"/>
      <c r="J312" s="97"/>
    </row>
    <row r="313" spans="1:10" ht="12.75">
      <c r="B313" s="94" t="s">
        <v>119</v>
      </c>
      <c r="C313" s="32" t="s">
        <v>119</v>
      </c>
      <c r="D313" s="75" t="s">
        <v>119</v>
      </c>
      <c r="E313" s="75"/>
      <c r="F313" s="76"/>
      <c r="G313" s="75"/>
      <c r="H313" s="77"/>
      <c r="I313" s="101"/>
      <c r="J313" s="98" t="s">
        <v>119</v>
      </c>
    </row>
    <row r="314" spans="1:10" ht="12.75">
      <c r="A314" s="62"/>
      <c r="B314" s="94"/>
      <c r="C314" s="74"/>
      <c r="D314" s="75" t="s">
        <v>250</v>
      </c>
      <c r="E314" s="75"/>
      <c r="F314" s="77"/>
      <c r="G314" s="75"/>
      <c r="H314" s="77"/>
      <c r="I314" s="101"/>
      <c r="J314" s="98"/>
    </row>
    <row r="315" spans="1:10" ht="12.75">
      <c r="A315" s="62"/>
      <c r="B315" s="94"/>
      <c r="C315" s="74"/>
      <c r="D315" s="75"/>
      <c r="E315" s="75"/>
      <c r="F315" s="77"/>
      <c r="G315" s="75"/>
      <c r="H315" s="77"/>
      <c r="I315" s="101"/>
      <c r="J315" s="98"/>
    </row>
    <row r="316" spans="1:10" ht="12.75">
      <c r="A316" s="62"/>
      <c r="B316" s="94"/>
      <c r="C316" s="74"/>
      <c r="D316" s="75"/>
      <c r="E316" s="75"/>
      <c r="F316" s="77"/>
      <c r="G316" s="75"/>
      <c r="H316" s="77"/>
      <c r="I316" s="101"/>
      <c r="J316" s="98"/>
    </row>
    <row r="317" spans="1:10" ht="12.75">
      <c r="A317" s="62"/>
      <c r="B317" s="94"/>
      <c r="C317" s="74"/>
      <c r="D317" s="75"/>
      <c r="E317" s="75"/>
      <c r="F317" s="77"/>
      <c r="G317" s="75"/>
      <c r="H317" s="77"/>
      <c r="I317" s="101"/>
      <c r="J317" s="98"/>
    </row>
    <row r="318" spans="1:10" ht="12.75">
      <c r="A318" s="62"/>
      <c r="B318" s="94"/>
      <c r="C318" s="74"/>
      <c r="D318" s="75"/>
      <c r="E318" s="75"/>
      <c r="F318" s="77"/>
      <c r="G318" s="75"/>
      <c r="H318" s="77"/>
      <c r="I318" s="101"/>
      <c r="J318" s="98"/>
    </row>
    <row r="319" spans="1:10" ht="12.75">
      <c r="A319" s="62"/>
      <c r="B319" s="94"/>
      <c r="C319" s="74"/>
      <c r="D319" s="75"/>
      <c r="E319" s="75"/>
      <c r="F319" s="77"/>
      <c r="G319" s="75"/>
      <c r="H319" s="77"/>
      <c r="I319" s="101"/>
      <c r="J319" s="98"/>
    </row>
    <row r="320" spans="1:10" ht="12.75">
      <c r="A320" s="62"/>
      <c r="B320" s="94"/>
      <c r="C320" s="74"/>
      <c r="D320" s="75"/>
      <c r="E320" s="75"/>
      <c r="F320" s="77"/>
      <c r="G320" s="75"/>
      <c r="H320" s="77"/>
      <c r="I320" s="101"/>
      <c r="J320" s="98"/>
    </row>
    <row r="321" spans="1:10" ht="12.75">
      <c r="A321" s="62"/>
      <c r="B321" s="94"/>
      <c r="C321" s="74"/>
      <c r="D321" s="75"/>
      <c r="E321" s="75"/>
      <c r="F321" s="77"/>
      <c r="G321" s="75"/>
      <c r="H321" s="77"/>
      <c r="I321" s="101"/>
      <c r="J321" s="98"/>
    </row>
    <row r="322" spans="1:10" ht="12.75">
      <c r="A322" s="62"/>
      <c r="B322" s="94"/>
      <c r="C322" s="74"/>
      <c r="D322" s="75"/>
      <c r="E322" s="75"/>
      <c r="F322" s="77"/>
      <c r="G322" s="75"/>
      <c r="H322" s="77"/>
      <c r="I322" s="101"/>
      <c r="J322" s="98"/>
    </row>
    <row r="323" spans="1:10" ht="12.75">
      <c r="A323" s="62"/>
      <c r="B323" s="94"/>
      <c r="C323" s="74"/>
      <c r="D323" s="75"/>
      <c r="E323" s="75"/>
      <c r="F323" s="77"/>
      <c r="G323" s="75"/>
      <c r="H323" s="77"/>
      <c r="I323" s="101"/>
      <c r="J323" s="98"/>
    </row>
    <row r="324" spans="1:10" ht="12.75">
      <c r="A324" s="62" t="s">
        <v>251</v>
      </c>
      <c r="B324" s="94"/>
      <c r="C324" s="74"/>
      <c r="D324" s="75"/>
      <c r="E324" s="75"/>
      <c r="F324" s="77"/>
      <c r="G324" s="75"/>
      <c r="H324" s="77"/>
      <c r="I324" s="101"/>
      <c r="J324" s="98">
        <f>SUM(J298:J323)</f>
        <v>6677557</v>
      </c>
    </row>
    <row r="325" spans="1:10" ht="12.75">
      <c r="A325" s="63"/>
      <c r="B325" s="94"/>
      <c r="C325" s="74"/>
      <c r="D325" s="75"/>
      <c r="E325" s="75"/>
      <c r="F325" s="77"/>
      <c r="G325" s="75"/>
      <c r="H325" s="77"/>
      <c r="I325" s="101"/>
      <c r="J325" s="98"/>
    </row>
    <row r="326" spans="1:10" ht="12.75">
      <c r="A326" s="63"/>
      <c r="B326" s="95"/>
      <c r="C326" s="88"/>
      <c r="D326" s="89"/>
      <c r="E326" s="89"/>
      <c r="F326" s="90"/>
      <c r="G326" s="89"/>
      <c r="H326" s="90"/>
      <c r="I326" s="102"/>
      <c r="J326" s="99"/>
    </row>
    <row r="327" spans="1:10" ht="12.75"/>
    <row r="328" spans="1:10" ht="12.75"/>
    <row r="329" spans="1:10" ht="12.75">
      <c r="A329" s="27" t="s">
        <v>223</v>
      </c>
      <c r="B329" s="27"/>
      <c r="C329" s="27"/>
      <c r="D329" s="27"/>
      <c r="E329" s="27"/>
      <c r="F329" s="27"/>
    </row>
    <row r="330" spans="1:10" ht="12.75">
      <c r="F330" s="36" t="s">
        <v>119</v>
      </c>
    </row>
    <row r="331" spans="1:10" ht="12.75"/>
    <row r="332" spans="1:10" ht="12.75">
      <c r="A332" s="62" t="s">
        <v>224</v>
      </c>
      <c r="B332" s="62" t="s">
        <v>1</v>
      </c>
      <c r="C332" s="62"/>
      <c r="D332" s="62"/>
      <c r="E332" s="62"/>
      <c r="F332" s="62"/>
      <c r="G332" s="63" t="s">
        <v>119</v>
      </c>
      <c r="H332" s="62" t="s">
        <v>225</v>
      </c>
      <c r="I332" s="64" t="s">
        <v>252</v>
      </c>
      <c r="J332" s="63"/>
    </row>
    <row r="333" spans="1:10" ht="12.75">
      <c r="A333" s="62" t="s">
        <v>227</v>
      </c>
      <c r="B333" s="65">
        <v>45979</v>
      </c>
      <c r="C333" s="62"/>
      <c r="D333" s="62"/>
      <c r="E333" s="62"/>
      <c r="F333" s="62"/>
      <c r="G333" s="63"/>
      <c r="H333" s="62" t="s">
        <v>228</v>
      </c>
      <c r="I333" s="66" t="s">
        <v>175</v>
      </c>
      <c r="J333" s="63"/>
    </row>
    <row r="334" spans="1:10" ht="12.75">
      <c r="A334" s="62"/>
      <c r="B334" s="62"/>
      <c r="C334" s="62"/>
      <c r="D334" s="62"/>
      <c r="E334" s="62"/>
      <c r="F334" s="62"/>
      <c r="G334" s="63"/>
      <c r="H334" s="63"/>
      <c r="I334" s="63"/>
      <c r="J334" s="63"/>
    </row>
    <row r="335" spans="1:10" ht="12.75">
      <c r="A335" s="62"/>
      <c r="B335" s="67" t="s">
        <v>229</v>
      </c>
      <c r="C335" s="67" t="s">
        <v>230</v>
      </c>
      <c r="D335" s="67" t="s">
        <v>231</v>
      </c>
      <c r="E335" s="67" t="s">
        <v>232</v>
      </c>
      <c r="F335" s="67" t="s">
        <v>233</v>
      </c>
      <c r="G335" s="67" t="s">
        <v>234</v>
      </c>
      <c r="H335" s="67" t="s">
        <v>235</v>
      </c>
      <c r="I335" s="67" t="s">
        <v>236</v>
      </c>
      <c r="J335" s="67" t="s">
        <v>235</v>
      </c>
    </row>
    <row r="336" spans="1:10" ht="12.75">
      <c r="A336" s="62"/>
      <c r="B336" s="68"/>
      <c r="C336" s="69"/>
      <c r="D336" s="70"/>
      <c r="E336" s="70"/>
      <c r="F336" s="71"/>
      <c r="G336" s="70"/>
      <c r="H336" s="71"/>
      <c r="I336" s="70"/>
      <c r="J336" s="72"/>
    </row>
    <row r="337" spans="1:11" ht="12.75">
      <c r="B337" s="93">
        <v>1</v>
      </c>
      <c r="C337" s="32" t="s">
        <v>237</v>
      </c>
      <c r="D337" s="75" t="s">
        <v>238</v>
      </c>
      <c r="E337" s="75"/>
      <c r="F337" s="76">
        <v>45979</v>
      </c>
      <c r="G337" s="75"/>
      <c r="H337" s="77"/>
      <c r="I337" s="101" t="s">
        <v>138</v>
      </c>
      <c r="J337" s="77">
        <v>3338778</v>
      </c>
    </row>
    <row r="338" spans="1:11" ht="12.75">
      <c r="A338" s="62"/>
      <c r="B338" s="73"/>
      <c r="C338" s="74"/>
      <c r="D338" s="75"/>
      <c r="E338" s="75"/>
      <c r="F338" s="77"/>
      <c r="G338" s="75"/>
      <c r="H338" s="77"/>
      <c r="I338" s="75"/>
      <c r="J338" s="77"/>
    </row>
    <row r="339" spans="1:11" ht="12.75">
      <c r="B339" s="78"/>
      <c r="C339" s="79"/>
      <c r="D339" s="75"/>
      <c r="E339" s="75"/>
      <c r="F339" s="76"/>
      <c r="G339" s="75"/>
      <c r="H339" s="77"/>
      <c r="I339" s="75"/>
      <c r="J339" s="77"/>
    </row>
    <row r="340" spans="1:11" ht="12.75">
      <c r="B340" s="78"/>
      <c r="C340" s="31"/>
      <c r="D340" s="75"/>
      <c r="E340" s="75"/>
      <c r="F340" s="77"/>
      <c r="G340" s="75"/>
      <c r="H340" s="77"/>
      <c r="I340" s="75"/>
      <c r="J340" s="77"/>
    </row>
    <row r="341" spans="1:11" ht="12.75">
      <c r="A341" s="62"/>
      <c r="B341" s="78" t="s">
        <v>119</v>
      </c>
      <c r="C341" s="79" t="s">
        <v>119</v>
      </c>
      <c r="D341" s="75" t="s">
        <v>119</v>
      </c>
      <c r="E341" s="75" t="s">
        <v>119</v>
      </c>
      <c r="F341" s="76" t="s">
        <v>119</v>
      </c>
      <c r="G341" s="75" t="s">
        <v>119</v>
      </c>
      <c r="H341" s="77" t="s">
        <v>119</v>
      </c>
      <c r="I341" s="75" t="s">
        <v>119</v>
      </c>
      <c r="J341" s="77" t="s">
        <v>119</v>
      </c>
    </row>
    <row r="342" spans="1:11" ht="12.75">
      <c r="A342" s="62"/>
      <c r="B342" s="78"/>
      <c r="C342" s="31"/>
      <c r="D342" s="75"/>
      <c r="E342" s="75"/>
      <c r="F342" s="77"/>
      <c r="G342" s="75"/>
      <c r="H342" s="77"/>
      <c r="I342" s="75"/>
      <c r="J342" s="77"/>
    </row>
    <row r="343" spans="1:11" ht="12.75">
      <c r="A343" s="62"/>
      <c r="B343" s="80"/>
      <c r="C343" s="32"/>
      <c r="D343" s="75"/>
      <c r="E343" s="75"/>
      <c r="F343" s="76"/>
      <c r="G343" s="75"/>
      <c r="H343" s="77"/>
      <c r="I343" s="75"/>
      <c r="J343" s="77"/>
    </row>
    <row r="344" spans="1:11" ht="12.75">
      <c r="B344" s="73"/>
      <c r="C344" s="74"/>
      <c r="D344" s="75"/>
      <c r="E344" s="75"/>
      <c r="F344" s="77"/>
      <c r="G344" s="75"/>
      <c r="H344" s="77"/>
      <c r="I344" s="75"/>
      <c r="J344" s="77"/>
    </row>
    <row r="345" spans="1:11" ht="12.75">
      <c r="A345" s="62"/>
      <c r="B345" s="73"/>
      <c r="C345" s="74"/>
      <c r="D345" s="75"/>
      <c r="E345" s="75"/>
      <c r="F345" s="77"/>
      <c r="G345" s="75"/>
      <c r="H345" s="77"/>
      <c r="I345" s="75"/>
      <c r="J345" s="77"/>
    </row>
    <row r="346" spans="1:11" ht="12.75">
      <c r="A346" s="62"/>
      <c r="B346" s="73"/>
      <c r="C346" s="74"/>
      <c r="D346" s="75"/>
      <c r="E346" s="75"/>
      <c r="F346" s="77"/>
      <c r="G346" s="75"/>
      <c r="H346" s="77"/>
      <c r="I346" s="75"/>
      <c r="J346" s="77"/>
    </row>
    <row r="347" spans="1:11" ht="12.75">
      <c r="A347" s="62"/>
      <c r="B347" s="73"/>
      <c r="C347" s="74"/>
      <c r="D347" s="75"/>
      <c r="E347" s="75"/>
      <c r="F347" s="77"/>
      <c r="G347" s="75"/>
      <c r="H347" s="77"/>
      <c r="I347" s="75"/>
      <c r="J347" s="77"/>
    </row>
    <row r="348" spans="1:11" ht="12.75">
      <c r="A348" s="62"/>
      <c r="B348" s="73"/>
      <c r="C348" s="74"/>
      <c r="D348" s="75"/>
      <c r="E348" s="75"/>
      <c r="F348" s="77"/>
      <c r="G348" s="75"/>
      <c r="H348" s="77"/>
      <c r="I348" s="75"/>
      <c r="J348" s="77"/>
    </row>
    <row r="349" spans="1:11" ht="12.75">
      <c r="A349" s="62"/>
      <c r="B349" s="73"/>
      <c r="C349" s="74"/>
      <c r="D349" s="75"/>
      <c r="E349" s="75"/>
      <c r="F349" s="77"/>
      <c r="G349" s="75"/>
      <c r="H349" s="77"/>
      <c r="I349" s="75"/>
      <c r="J349" s="77"/>
    </row>
    <row r="350" spans="1:11" ht="12.75">
      <c r="A350" s="81"/>
      <c r="B350" s="82"/>
      <c r="C350" s="83"/>
      <c r="D350" s="84"/>
      <c r="E350" s="84"/>
      <c r="F350" s="85"/>
      <c r="G350" s="84"/>
      <c r="H350" s="85"/>
      <c r="I350" s="84"/>
      <c r="J350" s="85"/>
      <c r="K350" s="86"/>
    </row>
    <row r="351" spans="1:11" ht="12.75">
      <c r="A351" s="62"/>
      <c r="B351" s="73"/>
      <c r="C351" s="74"/>
      <c r="D351" s="75"/>
      <c r="E351" s="75"/>
      <c r="F351" s="77"/>
      <c r="G351" s="75"/>
      <c r="H351" s="77"/>
      <c r="I351" s="75"/>
      <c r="J351" s="77"/>
    </row>
    <row r="352" spans="1:11" ht="12.75">
      <c r="A352" s="62"/>
      <c r="B352" s="73"/>
      <c r="C352" s="74"/>
      <c r="D352" s="75"/>
      <c r="E352" s="75"/>
      <c r="F352" s="77"/>
      <c r="G352" s="75"/>
      <c r="H352" s="77"/>
      <c r="I352" s="75"/>
      <c r="J352" s="77"/>
    </row>
    <row r="353" spans="1:10" ht="12.75">
      <c r="A353" s="62"/>
      <c r="B353" s="73"/>
      <c r="C353" s="74"/>
      <c r="D353" s="75"/>
      <c r="E353" s="75"/>
      <c r="F353" s="77"/>
      <c r="G353" s="75"/>
      <c r="H353" s="77"/>
      <c r="I353" s="75"/>
      <c r="J353" s="77"/>
    </row>
    <row r="354" spans="1:10" ht="12.75">
      <c r="A354" s="62"/>
      <c r="B354" s="73"/>
      <c r="C354" s="74"/>
      <c r="D354" s="75"/>
      <c r="E354" s="75"/>
      <c r="F354" s="77"/>
      <c r="G354" s="75"/>
      <c r="H354" s="77"/>
      <c r="I354" s="75"/>
      <c r="J354" s="77"/>
    </row>
    <row r="355" spans="1:10" ht="12.75">
      <c r="A355" s="62"/>
      <c r="B355" s="73"/>
      <c r="C355" s="74"/>
      <c r="D355" s="75"/>
      <c r="E355" s="75"/>
      <c r="F355" s="77"/>
      <c r="G355" s="75"/>
      <c r="H355" s="77"/>
      <c r="I355" s="75"/>
      <c r="J355" s="77"/>
    </row>
    <row r="356" spans="1:10" ht="12.75">
      <c r="A356" s="62"/>
      <c r="B356" s="73"/>
      <c r="C356" s="74"/>
      <c r="D356" s="75"/>
      <c r="E356" s="75"/>
      <c r="F356" s="77"/>
      <c r="G356" s="75"/>
      <c r="H356" s="77"/>
      <c r="I356" s="75"/>
      <c r="J356" s="77"/>
    </row>
    <row r="357" spans="1:10" ht="12.75">
      <c r="A357" s="62"/>
      <c r="B357" s="73"/>
      <c r="C357" s="74"/>
      <c r="D357" s="75"/>
      <c r="E357" s="75"/>
      <c r="F357" s="77"/>
      <c r="G357" s="75"/>
      <c r="H357" s="77"/>
      <c r="I357" s="75"/>
      <c r="J357" s="77"/>
    </row>
    <row r="358" spans="1:10" ht="12.75">
      <c r="A358" s="62"/>
      <c r="B358" s="73"/>
      <c r="C358" s="74"/>
      <c r="D358" s="75"/>
      <c r="E358" s="75"/>
      <c r="F358" s="77"/>
      <c r="G358" s="75"/>
      <c r="H358" s="77"/>
      <c r="I358" s="75"/>
      <c r="J358" s="77"/>
    </row>
    <row r="359" spans="1:10" ht="12.75">
      <c r="A359" s="62"/>
      <c r="B359" s="73"/>
      <c r="C359" s="74"/>
      <c r="D359" s="75"/>
      <c r="E359" s="75"/>
      <c r="F359" s="77"/>
      <c r="G359" s="75"/>
      <c r="H359" s="77"/>
      <c r="I359" s="75"/>
      <c r="J359" s="77"/>
    </row>
    <row r="360" spans="1:10" ht="12.75">
      <c r="A360" s="62"/>
      <c r="B360" s="73"/>
      <c r="C360" s="74"/>
      <c r="D360" s="75"/>
      <c r="E360" s="75"/>
      <c r="F360" s="77"/>
      <c r="G360" s="75"/>
      <c r="H360" s="77"/>
      <c r="I360" s="75"/>
      <c r="J360" s="77"/>
    </row>
    <row r="361" spans="1:10" ht="12.75">
      <c r="A361" s="62"/>
      <c r="B361" s="73"/>
      <c r="C361" s="74"/>
      <c r="D361" s="75"/>
      <c r="E361" s="75"/>
      <c r="F361" s="77"/>
      <c r="G361" s="75"/>
      <c r="H361" s="77"/>
      <c r="I361" s="75"/>
      <c r="J361" s="77"/>
    </row>
    <row r="362" spans="1:10" ht="12.75">
      <c r="A362" s="62"/>
      <c r="B362" s="73"/>
      <c r="C362" s="74"/>
      <c r="D362" s="75"/>
      <c r="E362" s="75"/>
      <c r="F362" s="77"/>
      <c r="G362" s="75"/>
      <c r="H362" s="77"/>
      <c r="I362" s="75"/>
      <c r="J362" s="77"/>
    </row>
    <row r="363" spans="1:10" ht="12.75">
      <c r="A363" s="62"/>
      <c r="B363" s="73"/>
      <c r="C363" s="74"/>
      <c r="D363" s="75"/>
      <c r="E363" s="75"/>
      <c r="F363" s="77"/>
      <c r="G363" s="75"/>
      <c r="H363" s="77"/>
      <c r="I363" s="75"/>
      <c r="J363" s="77"/>
    </row>
    <row r="364" spans="1:10" ht="12.75">
      <c r="A364" s="62"/>
      <c r="B364" s="73"/>
      <c r="C364" s="74"/>
      <c r="D364" s="75"/>
      <c r="E364" s="75"/>
      <c r="F364" s="77"/>
      <c r="G364" s="75"/>
      <c r="H364" s="77"/>
      <c r="I364" s="75"/>
      <c r="J364" s="77"/>
    </row>
    <row r="365" spans="1:10" ht="12.75">
      <c r="A365" s="62"/>
      <c r="B365" s="73"/>
      <c r="C365" s="74"/>
      <c r="D365" s="75"/>
      <c r="E365" s="75"/>
      <c r="F365" s="77"/>
      <c r="G365" s="75"/>
      <c r="H365" s="77"/>
      <c r="I365" s="75"/>
      <c r="J365" s="77"/>
    </row>
    <row r="366" spans="1:10" ht="12.75">
      <c r="A366" s="62" t="s">
        <v>254</v>
      </c>
      <c r="B366" s="73"/>
      <c r="C366" s="74"/>
      <c r="D366" s="75"/>
      <c r="E366" s="75"/>
      <c r="F366" s="77"/>
      <c r="G366" s="75"/>
      <c r="H366" s="77"/>
      <c r="I366" s="75"/>
      <c r="J366" s="77">
        <f>SUM(J337:J364)</f>
        <v>3338778</v>
      </c>
    </row>
    <row r="367" spans="1:10" ht="12.75">
      <c r="A367" s="63"/>
      <c r="B367" s="73"/>
      <c r="C367" s="74"/>
      <c r="D367" s="75"/>
      <c r="E367" s="75"/>
      <c r="F367" s="77"/>
      <c r="G367" s="75"/>
      <c r="H367" s="77"/>
      <c r="I367" s="75"/>
      <c r="J367" s="77"/>
    </row>
    <row r="368" spans="1:10" ht="12.75">
      <c r="A368" s="63"/>
      <c r="B368" s="87"/>
      <c r="C368" s="88"/>
      <c r="D368" s="89"/>
      <c r="E368" s="89"/>
      <c r="F368" s="90"/>
      <c r="G368" s="89"/>
      <c r="H368" s="90"/>
      <c r="I368" s="89"/>
      <c r="J368" s="90"/>
    </row>
    <row r="369" spans="1:10" ht="12.75"/>
    <row r="370" spans="1:10" ht="12.75"/>
    <row r="371" spans="1:10" ht="12.75">
      <c r="A371" s="62" t="s">
        <v>224</v>
      </c>
      <c r="B371" s="62" t="s">
        <v>1</v>
      </c>
      <c r="C371" s="62"/>
      <c r="D371" s="62"/>
      <c r="E371" s="62"/>
      <c r="F371" s="62"/>
      <c r="G371" s="63" t="s">
        <v>119</v>
      </c>
      <c r="H371" s="62" t="s">
        <v>225</v>
      </c>
      <c r="I371" s="64" t="s">
        <v>226</v>
      </c>
      <c r="J371" s="63"/>
    </row>
    <row r="372" spans="1:10" ht="12.75">
      <c r="A372" s="62" t="s">
        <v>227</v>
      </c>
      <c r="B372" s="65">
        <v>45980</v>
      </c>
      <c r="C372" s="62"/>
      <c r="D372" s="62"/>
      <c r="E372" s="62"/>
      <c r="F372" s="62"/>
      <c r="G372" s="63"/>
      <c r="H372" s="62" t="s">
        <v>228</v>
      </c>
      <c r="I372" s="66" t="s">
        <v>115</v>
      </c>
      <c r="J372" s="63"/>
    </row>
    <row r="373" spans="1:10" ht="12.75">
      <c r="A373" s="62"/>
      <c r="B373" s="62"/>
      <c r="C373" s="62"/>
      <c r="D373" s="62"/>
      <c r="E373" s="62"/>
      <c r="F373" s="62"/>
      <c r="G373" s="63"/>
      <c r="H373" s="63"/>
      <c r="I373" s="63"/>
      <c r="J373" s="63"/>
    </row>
    <row r="374" spans="1:10" ht="12.75">
      <c r="A374" s="62"/>
      <c r="B374" s="67" t="s">
        <v>229</v>
      </c>
      <c r="C374" s="67" t="s">
        <v>230</v>
      </c>
      <c r="D374" s="67" t="s">
        <v>231</v>
      </c>
      <c r="E374" s="67" t="s">
        <v>232</v>
      </c>
      <c r="F374" s="67" t="s">
        <v>233</v>
      </c>
      <c r="G374" s="67" t="s">
        <v>234</v>
      </c>
      <c r="H374" s="67" t="s">
        <v>235</v>
      </c>
      <c r="I374" s="67" t="s">
        <v>236</v>
      </c>
      <c r="J374" s="67" t="s">
        <v>235</v>
      </c>
    </row>
    <row r="375" spans="1:10" ht="12.75">
      <c r="A375" s="62"/>
      <c r="B375" s="68"/>
      <c r="C375" s="69"/>
      <c r="D375" s="70"/>
      <c r="E375" s="70"/>
      <c r="F375" s="71"/>
      <c r="G375" s="70"/>
      <c r="H375" s="71"/>
      <c r="I375" s="70"/>
      <c r="J375" s="72" t="s">
        <v>119</v>
      </c>
    </row>
    <row r="376" spans="1:10" ht="12.75">
      <c r="B376" s="73">
        <v>1</v>
      </c>
      <c r="C376" s="74" t="s">
        <v>237</v>
      </c>
      <c r="D376" s="75" t="s">
        <v>238</v>
      </c>
      <c r="E376" s="75"/>
      <c r="F376" s="76">
        <v>45980</v>
      </c>
      <c r="G376" s="75" t="s">
        <v>131</v>
      </c>
      <c r="H376" s="77">
        <v>1670607</v>
      </c>
      <c r="I376" s="75" t="s">
        <v>119</v>
      </c>
      <c r="J376" s="77" t="s">
        <v>119</v>
      </c>
    </row>
    <row r="377" spans="1:10" ht="12.75">
      <c r="A377" s="62"/>
      <c r="B377" s="73"/>
      <c r="C377" s="74"/>
      <c r="D377" s="75"/>
      <c r="E377" s="75"/>
      <c r="F377" s="77"/>
      <c r="G377" s="75"/>
      <c r="H377" s="77"/>
      <c r="I377" s="75"/>
      <c r="J377" s="77"/>
    </row>
    <row r="378" spans="1:10" ht="12.75">
      <c r="B378" s="78" t="s">
        <v>119</v>
      </c>
      <c r="C378" s="31" t="s">
        <v>119</v>
      </c>
      <c r="D378" s="75" t="s">
        <v>119</v>
      </c>
      <c r="E378" s="75" t="s">
        <v>119</v>
      </c>
      <c r="F378" s="76" t="s">
        <v>119</v>
      </c>
      <c r="G378" s="75" t="s">
        <v>119</v>
      </c>
      <c r="H378" s="77" t="s">
        <v>119</v>
      </c>
      <c r="I378" s="75" t="s">
        <v>119</v>
      </c>
      <c r="J378" s="77" t="s">
        <v>119</v>
      </c>
    </row>
    <row r="379" spans="1:10" ht="12.75">
      <c r="B379" s="78"/>
      <c r="C379" s="31"/>
      <c r="D379" s="75"/>
      <c r="E379" s="75"/>
      <c r="F379" s="77"/>
      <c r="G379" s="75"/>
      <c r="H379" s="77"/>
      <c r="I379" s="75"/>
      <c r="J379" s="77"/>
    </row>
    <row r="380" spans="1:10" ht="12.75">
      <c r="A380" s="62"/>
      <c r="B380" s="78" t="s">
        <v>119</v>
      </c>
      <c r="C380" s="79" t="s">
        <v>119</v>
      </c>
      <c r="D380" s="75" t="s">
        <v>119</v>
      </c>
      <c r="E380" s="75" t="s">
        <v>119</v>
      </c>
      <c r="F380" s="76" t="s">
        <v>119</v>
      </c>
      <c r="G380" s="75" t="s">
        <v>119</v>
      </c>
      <c r="H380" s="77" t="s">
        <v>119</v>
      </c>
      <c r="I380" s="75" t="s">
        <v>119</v>
      </c>
      <c r="J380" s="77" t="s">
        <v>119</v>
      </c>
    </row>
    <row r="381" spans="1:10" ht="12.75">
      <c r="A381" s="62"/>
      <c r="B381" s="78"/>
      <c r="C381" s="31"/>
      <c r="D381" s="75"/>
      <c r="E381" s="75"/>
      <c r="F381" s="77"/>
      <c r="G381" s="75"/>
      <c r="H381" s="77"/>
      <c r="I381" s="75"/>
      <c r="J381" s="77"/>
    </row>
    <row r="382" spans="1:10" ht="12.75">
      <c r="A382" s="62"/>
      <c r="B382" s="80"/>
      <c r="C382" s="32"/>
      <c r="D382" s="75"/>
      <c r="E382" s="75"/>
      <c r="F382" s="76"/>
      <c r="G382" s="75"/>
      <c r="H382" s="77"/>
      <c r="I382" s="75"/>
      <c r="J382" s="77"/>
    </row>
    <row r="383" spans="1:10" ht="12.75">
      <c r="B383" s="73"/>
      <c r="C383" s="74"/>
      <c r="D383" s="75"/>
      <c r="E383" s="75"/>
      <c r="F383" s="77"/>
      <c r="G383" s="75"/>
      <c r="H383" s="77"/>
      <c r="I383" s="75"/>
      <c r="J383" s="77"/>
    </row>
    <row r="384" spans="1:10" ht="12.75">
      <c r="A384" s="62"/>
      <c r="B384" s="73"/>
      <c r="C384" s="74"/>
      <c r="D384" s="75"/>
      <c r="E384" s="75"/>
      <c r="F384" s="77"/>
      <c r="G384" s="75"/>
      <c r="H384" s="77"/>
      <c r="I384" s="75"/>
      <c r="J384" s="77"/>
    </row>
    <row r="385" spans="1:11" ht="12.75">
      <c r="A385" s="62"/>
      <c r="B385" s="73"/>
      <c r="C385" s="74"/>
      <c r="D385" s="75"/>
      <c r="E385" s="75"/>
      <c r="F385" s="77"/>
      <c r="G385" s="75"/>
      <c r="H385" s="77"/>
      <c r="I385" s="75"/>
      <c r="J385" s="77"/>
    </row>
    <row r="386" spans="1:11" ht="12.75">
      <c r="A386" s="62"/>
      <c r="B386" s="73"/>
      <c r="C386" s="74"/>
      <c r="D386" s="75"/>
      <c r="E386" s="75"/>
      <c r="F386" s="77"/>
      <c r="G386" s="75"/>
      <c r="H386" s="77"/>
      <c r="I386" s="75"/>
      <c r="J386" s="77"/>
    </row>
    <row r="387" spans="1:11" ht="12.75">
      <c r="A387" s="62"/>
      <c r="B387" s="73"/>
      <c r="C387" s="74"/>
      <c r="D387" s="75"/>
      <c r="E387" s="75"/>
      <c r="F387" s="77"/>
      <c r="G387" s="75"/>
      <c r="H387" s="77"/>
      <c r="I387" s="75"/>
      <c r="J387" s="77"/>
    </row>
    <row r="388" spans="1:11" ht="12.75">
      <c r="A388" s="62"/>
      <c r="B388" s="73"/>
      <c r="C388" s="74"/>
      <c r="D388" s="75"/>
      <c r="E388" s="75"/>
      <c r="F388" s="77"/>
      <c r="G388" s="75"/>
      <c r="H388" s="77"/>
      <c r="I388" s="75"/>
      <c r="J388" s="77"/>
    </row>
    <row r="389" spans="1:11" ht="12.75">
      <c r="A389" s="81"/>
      <c r="B389" s="82"/>
      <c r="C389" s="83"/>
      <c r="D389" s="84"/>
      <c r="E389" s="84"/>
      <c r="F389" s="85"/>
      <c r="G389" s="84"/>
      <c r="H389" s="85"/>
      <c r="I389" s="84"/>
      <c r="J389" s="85"/>
      <c r="K389" s="86"/>
    </row>
    <row r="390" spans="1:11" ht="12.75">
      <c r="A390" s="62"/>
      <c r="B390" s="73"/>
      <c r="C390" s="74"/>
      <c r="D390" s="75"/>
      <c r="E390" s="75"/>
      <c r="F390" s="77"/>
      <c r="G390" s="75"/>
      <c r="H390" s="77"/>
      <c r="I390" s="75"/>
      <c r="J390" s="77"/>
    </row>
    <row r="391" spans="1:11" ht="12.75">
      <c r="A391" s="62"/>
      <c r="B391" s="73"/>
      <c r="C391" s="74"/>
      <c r="D391" s="75"/>
      <c r="E391" s="75"/>
      <c r="F391" s="77"/>
      <c r="G391" s="75"/>
      <c r="H391" s="77"/>
      <c r="I391" s="75"/>
      <c r="J391" s="77"/>
    </row>
    <row r="392" spans="1:11" ht="12.75">
      <c r="A392" s="62"/>
      <c r="B392" s="73"/>
      <c r="C392" s="74"/>
      <c r="D392" s="75"/>
      <c r="E392" s="75"/>
      <c r="F392" s="77"/>
      <c r="G392" s="75"/>
      <c r="H392" s="77"/>
      <c r="I392" s="75"/>
      <c r="J392" s="77"/>
    </row>
    <row r="393" spans="1:11" ht="12.75">
      <c r="A393" s="62"/>
      <c r="B393" s="73"/>
      <c r="C393" s="74"/>
      <c r="D393" s="75"/>
      <c r="E393" s="75"/>
      <c r="F393" s="77"/>
      <c r="G393" s="75"/>
      <c r="H393" s="77"/>
      <c r="I393" s="75"/>
      <c r="J393" s="77"/>
    </row>
    <row r="394" spans="1:11" ht="12.75">
      <c r="A394" s="62"/>
      <c r="B394" s="73"/>
      <c r="C394" s="74"/>
      <c r="D394" s="75"/>
      <c r="E394" s="75"/>
      <c r="F394" s="77"/>
      <c r="G394" s="75"/>
      <c r="H394" s="77"/>
      <c r="I394" s="75"/>
      <c r="J394" s="77"/>
    </row>
    <row r="395" spans="1:11" ht="12.75">
      <c r="A395" s="62"/>
      <c r="B395" s="73"/>
      <c r="C395" s="74"/>
      <c r="D395" s="75"/>
      <c r="E395" s="75"/>
      <c r="F395" s="77"/>
      <c r="G395" s="75"/>
      <c r="H395" s="77"/>
      <c r="I395" s="75"/>
      <c r="J395" s="77"/>
    </row>
    <row r="396" spans="1:11" ht="12.75">
      <c r="A396" s="62"/>
      <c r="B396" s="73"/>
      <c r="C396" s="74"/>
      <c r="D396" s="75"/>
      <c r="E396" s="75"/>
      <c r="F396" s="77"/>
      <c r="G396" s="75"/>
      <c r="H396" s="77"/>
      <c r="I396" s="75"/>
      <c r="J396" s="77"/>
    </row>
    <row r="397" spans="1:11" ht="12.75">
      <c r="A397" s="62"/>
      <c r="B397" s="73"/>
      <c r="C397" s="74"/>
      <c r="D397" s="75"/>
      <c r="E397" s="75"/>
      <c r="F397" s="77"/>
      <c r="G397" s="75"/>
      <c r="H397" s="77"/>
      <c r="I397" s="75"/>
      <c r="J397" s="77"/>
    </row>
    <row r="398" spans="1:11" ht="12.75">
      <c r="A398" s="62"/>
      <c r="B398" s="73"/>
      <c r="C398" s="74"/>
      <c r="D398" s="75"/>
      <c r="E398" s="75"/>
      <c r="F398" s="77"/>
      <c r="G398" s="75"/>
      <c r="H398" s="77"/>
      <c r="I398" s="75"/>
      <c r="J398" s="77"/>
    </row>
    <row r="399" spans="1:11" ht="12.75">
      <c r="A399" s="62"/>
      <c r="B399" s="73"/>
      <c r="C399" s="74"/>
      <c r="D399" s="75"/>
      <c r="E399" s="75"/>
      <c r="F399" s="77"/>
      <c r="G399" s="75"/>
      <c r="H399" s="77"/>
      <c r="I399" s="75"/>
      <c r="J399" s="77"/>
    </row>
    <row r="400" spans="1:11" ht="12.75">
      <c r="A400" s="62"/>
      <c r="B400" s="73"/>
      <c r="C400" s="74"/>
      <c r="D400" s="75"/>
      <c r="E400" s="75"/>
      <c r="F400" s="77"/>
      <c r="G400" s="75"/>
      <c r="H400" s="77"/>
      <c r="I400" s="75"/>
      <c r="J400" s="77"/>
    </row>
    <row r="401" spans="1:10" ht="12.75">
      <c r="A401" s="62"/>
      <c r="B401" s="73"/>
      <c r="C401" s="74"/>
      <c r="D401" s="75"/>
      <c r="E401" s="75"/>
      <c r="F401" s="77"/>
      <c r="G401" s="75"/>
      <c r="H401" s="77"/>
      <c r="I401" s="75"/>
      <c r="J401" s="77"/>
    </row>
    <row r="402" spans="1:10" ht="12.75">
      <c r="A402" s="62"/>
      <c r="B402" s="73"/>
      <c r="C402" s="74"/>
      <c r="D402" s="75"/>
      <c r="E402" s="75"/>
      <c r="F402" s="77"/>
      <c r="G402" s="75"/>
      <c r="H402" s="77"/>
      <c r="I402" s="75"/>
      <c r="J402" s="77"/>
    </row>
    <row r="403" spans="1:10" ht="12.75">
      <c r="A403" s="62"/>
      <c r="B403" s="73"/>
      <c r="C403" s="74"/>
      <c r="D403" s="75"/>
      <c r="E403" s="75"/>
      <c r="F403" s="77"/>
      <c r="G403" s="75"/>
      <c r="H403" s="77"/>
      <c r="I403" s="75"/>
      <c r="J403" s="77"/>
    </row>
    <row r="404" spans="1:10" ht="12.75">
      <c r="A404" s="62"/>
      <c r="B404" s="73"/>
      <c r="C404" s="74"/>
      <c r="D404" s="75"/>
      <c r="E404" s="75"/>
      <c r="F404" s="77"/>
      <c r="G404" s="75"/>
      <c r="H404" s="77"/>
      <c r="I404" s="75"/>
      <c r="J404" s="77"/>
    </row>
    <row r="405" spans="1:10" ht="12.75">
      <c r="A405" s="62" t="s">
        <v>239</v>
      </c>
      <c r="B405" s="73"/>
      <c r="C405" s="74"/>
      <c r="D405" s="75"/>
      <c r="E405" s="75"/>
      <c r="F405" s="77"/>
      <c r="G405" s="75"/>
      <c r="H405" s="77">
        <f>SUM(H376:H404)</f>
        <v>1670607</v>
      </c>
      <c r="I405" s="75"/>
      <c r="J405" s="77">
        <f>SUM(J376:J403)</f>
        <v>0</v>
      </c>
    </row>
    <row r="406" spans="1:10" ht="12.75">
      <c r="A406" s="63"/>
      <c r="B406" s="73"/>
      <c r="C406" s="74"/>
      <c r="D406" s="75"/>
      <c r="E406" s="75"/>
      <c r="F406" s="77"/>
      <c r="G406" s="75"/>
      <c r="H406" s="77"/>
      <c r="I406" s="75"/>
      <c r="J406" s="77"/>
    </row>
    <row r="407" spans="1:10" ht="12.75">
      <c r="A407" s="63"/>
      <c r="B407" s="87"/>
      <c r="C407" s="88"/>
      <c r="D407" s="89"/>
      <c r="E407" s="89"/>
      <c r="F407" s="90"/>
      <c r="G407" s="89"/>
      <c r="H407" s="90"/>
      <c r="I407" s="89"/>
      <c r="J407" s="90"/>
    </row>
    <row r="408" spans="1:10" ht="12.75"/>
    <row r="409" spans="1:10" ht="12.75"/>
    <row r="410" spans="1:10" ht="12.75">
      <c r="A410" s="27" t="s">
        <v>240</v>
      </c>
      <c r="B410" s="27"/>
      <c r="C410" s="27"/>
      <c r="D410" s="27"/>
      <c r="E410" s="27"/>
      <c r="F410" s="27"/>
    </row>
    <row r="411" spans="1:10" ht="12.75"/>
    <row r="412" spans="1:10" ht="12.75"/>
    <row r="413" spans="1:10" ht="12.75">
      <c r="A413" s="62" t="s">
        <v>224</v>
      </c>
      <c r="B413" s="62" t="s">
        <v>1</v>
      </c>
      <c r="C413" s="62"/>
      <c r="D413" s="62"/>
      <c r="E413" s="62"/>
      <c r="F413" s="62"/>
      <c r="G413" s="63" t="s">
        <v>119</v>
      </c>
      <c r="H413" s="62" t="s">
        <v>241</v>
      </c>
      <c r="I413" s="62" t="s">
        <v>255</v>
      </c>
      <c r="J413" s="63"/>
    </row>
    <row r="414" spans="1:10" ht="12.75">
      <c r="A414" s="62" t="s">
        <v>227</v>
      </c>
      <c r="B414" s="65">
        <v>45980</v>
      </c>
      <c r="C414" s="62"/>
      <c r="D414" s="62"/>
      <c r="E414" s="62"/>
      <c r="F414" s="62"/>
      <c r="G414" s="63"/>
      <c r="H414" s="62" t="s">
        <v>228</v>
      </c>
      <c r="I414" s="62" t="s">
        <v>136</v>
      </c>
      <c r="J414" s="63"/>
    </row>
    <row r="415" spans="1:10" ht="12.75">
      <c r="A415" s="62"/>
      <c r="B415" s="62"/>
      <c r="C415" s="62"/>
      <c r="D415" s="62"/>
      <c r="E415" s="62"/>
      <c r="F415" s="62"/>
      <c r="G415" s="63"/>
      <c r="H415" s="63"/>
      <c r="I415" s="63"/>
      <c r="J415" s="63"/>
    </row>
    <row r="416" spans="1:10" ht="12.75">
      <c r="A416" s="62"/>
      <c r="B416" s="67" t="s">
        <v>229</v>
      </c>
      <c r="C416" s="67" t="s">
        <v>230</v>
      </c>
      <c r="D416" s="67" t="s">
        <v>231</v>
      </c>
      <c r="E416" s="67" t="s">
        <v>232</v>
      </c>
      <c r="F416" s="67" t="s">
        <v>233</v>
      </c>
      <c r="G416" s="67" t="s">
        <v>234</v>
      </c>
      <c r="H416" s="67" t="s">
        <v>235</v>
      </c>
      <c r="I416" s="67" t="s">
        <v>236</v>
      </c>
      <c r="J416" s="67" t="s">
        <v>235</v>
      </c>
    </row>
    <row r="417" spans="1:10" ht="12.75">
      <c r="A417" s="62"/>
      <c r="B417" s="92"/>
      <c r="C417" s="69"/>
      <c r="D417" s="70"/>
      <c r="E417" s="70"/>
      <c r="F417" s="71"/>
      <c r="G417" s="70"/>
      <c r="H417" s="71"/>
      <c r="I417" s="100"/>
      <c r="J417" s="96"/>
    </row>
    <row r="418" spans="1:10" ht="12.75">
      <c r="B418" s="93">
        <v>1</v>
      </c>
      <c r="C418" s="32" t="s">
        <v>237</v>
      </c>
      <c r="D418" s="75" t="s">
        <v>238</v>
      </c>
      <c r="E418" s="75"/>
      <c r="F418" s="76">
        <v>45980</v>
      </c>
      <c r="G418" s="75"/>
      <c r="H418" s="77"/>
      <c r="I418" s="101" t="s">
        <v>138</v>
      </c>
      <c r="J418" s="97">
        <v>1670607</v>
      </c>
    </row>
    <row r="419" spans="1:10" ht="12.75">
      <c r="B419" s="93"/>
      <c r="C419" s="32"/>
      <c r="D419" s="75"/>
      <c r="E419" s="75"/>
      <c r="F419" s="76"/>
      <c r="G419" s="75"/>
      <c r="H419" s="77"/>
      <c r="I419" s="101"/>
      <c r="J419" s="97"/>
    </row>
    <row r="420" spans="1:10" ht="12.75">
      <c r="B420" s="93"/>
      <c r="C420" s="32"/>
      <c r="D420" s="75"/>
      <c r="E420" s="75"/>
      <c r="F420" s="76"/>
      <c r="G420" s="75"/>
      <c r="H420" s="77"/>
      <c r="I420" s="101"/>
      <c r="J420" s="97"/>
    </row>
    <row r="421" spans="1:10" ht="12.75">
      <c r="B421" s="93"/>
      <c r="C421" s="32"/>
      <c r="D421" s="75"/>
      <c r="E421" s="75"/>
      <c r="F421" s="91"/>
      <c r="G421" s="75"/>
      <c r="H421" s="77"/>
      <c r="I421" s="101"/>
      <c r="J421" s="97"/>
    </row>
    <row r="422" spans="1:10" ht="12.75">
      <c r="A422" s="62"/>
      <c r="B422" s="93"/>
      <c r="C422" s="32"/>
      <c r="D422" s="75"/>
      <c r="E422" s="75"/>
      <c r="F422" s="76"/>
      <c r="G422" s="75"/>
      <c r="H422" s="77"/>
      <c r="I422" s="101"/>
      <c r="J422" s="97"/>
    </row>
    <row r="423" spans="1:10" ht="12.75">
      <c r="A423" s="62"/>
      <c r="B423" s="93"/>
      <c r="C423" s="32"/>
      <c r="D423" s="75"/>
      <c r="E423" s="75"/>
      <c r="F423" s="76"/>
      <c r="G423" s="75"/>
      <c r="H423" s="77"/>
      <c r="I423" s="101"/>
      <c r="J423" s="97"/>
    </row>
    <row r="424" spans="1:10" ht="12.75">
      <c r="A424" s="62"/>
      <c r="B424" s="93"/>
      <c r="C424" s="32"/>
      <c r="D424" s="75"/>
      <c r="E424" s="75"/>
      <c r="F424" s="76"/>
      <c r="G424" s="75"/>
      <c r="H424" s="77"/>
      <c r="I424" s="101"/>
      <c r="J424" s="97"/>
    </row>
    <row r="425" spans="1:10" ht="12.75">
      <c r="A425" s="62"/>
      <c r="B425" s="93"/>
      <c r="C425" s="32"/>
      <c r="D425" s="75"/>
      <c r="E425" s="75"/>
      <c r="F425" s="91"/>
      <c r="G425" s="75"/>
      <c r="H425" s="77"/>
      <c r="I425" s="101"/>
      <c r="J425" s="97"/>
    </row>
    <row r="426" spans="1:10" ht="12.75">
      <c r="B426" s="93"/>
      <c r="C426" s="32"/>
      <c r="D426" s="75"/>
      <c r="E426" s="75"/>
      <c r="F426" s="76"/>
      <c r="G426" s="75"/>
      <c r="H426" s="77"/>
      <c r="I426" s="101"/>
      <c r="J426" s="97"/>
    </row>
    <row r="427" spans="1:10" ht="12.75">
      <c r="B427" s="93"/>
      <c r="C427" s="32"/>
      <c r="D427" s="75"/>
      <c r="E427" s="75"/>
      <c r="F427" s="76"/>
      <c r="G427" s="75"/>
      <c r="H427" s="77"/>
      <c r="I427" s="101"/>
      <c r="J427" s="97"/>
    </row>
    <row r="428" spans="1:10" ht="12.75">
      <c r="B428" s="93"/>
      <c r="C428" s="32"/>
      <c r="D428" s="75"/>
      <c r="E428" s="75"/>
      <c r="F428" s="76"/>
      <c r="G428" s="75"/>
      <c r="H428" s="77"/>
      <c r="I428" s="101"/>
      <c r="J428" s="97"/>
    </row>
    <row r="429" spans="1:10" ht="12.75">
      <c r="B429" s="93"/>
      <c r="C429" s="32"/>
      <c r="D429" s="75"/>
      <c r="E429" s="75"/>
      <c r="F429" s="91"/>
      <c r="G429" s="75"/>
      <c r="H429" s="77"/>
      <c r="I429" s="101"/>
      <c r="J429" s="97"/>
    </row>
    <row r="430" spans="1:10" ht="12.75">
      <c r="A430" s="62"/>
      <c r="B430" s="93"/>
      <c r="C430" s="32"/>
      <c r="D430" s="75"/>
      <c r="E430" s="75"/>
      <c r="F430" s="76"/>
      <c r="G430" s="75"/>
      <c r="H430" s="77"/>
      <c r="I430" s="101"/>
      <c r="J430" s="97"/>
    </row>
    <row r="431" spans="1:10" ht="12.75">
      <c r="A431" s="62"/>
      <c r="B431" s="93"/>
      <c r="C431" s="32"/>
      <c r="D431" s="75"/>
      <c r="E431" s="75"/>
      <c r="F431" s="76"/>
      <c r="G431" s="75"/>
      <c r="H431" s="77"/>
      <c r="I431" s="101"/>
      <c r="J431" s="97"/>
    </row>
    <row r="432" spans="1:10" ht="12.75">
      <c r="A432" s="62"/>
      <c r="B432" s="93"/>
      <c r="C432" s="32"/>
      <c r="D432" s="75"/>
      <c r="E432" s="75"/>
      <c r="F432" s="76"/>
      <c r="G432" s="75"/>
      <c r="H432" s="77"/>
      <c r="I432" s="101"/>
      <c r="J432" s="97"/>
    </row>
    <row r="433" spans="1:10" ht="12.75">
      <c r="B433" s="94" t="s">
        <v>119</v>
      </c>
      <c r="C433" s="32" t="s">
        <v>119</v>
      </c>
      <c r="D433" s="75" t="s">
        <v>119</v>
      </c>
      <c r="E433" s="75"/>
      <c r="F433" s="76"/>
      <c r="G433" s="75"/>
      <c r="H433" s="77"/>
      <c r="I433" s="101"/>
      <c r="J433" s="98" t="s">
        <v>119</v>
      </c>
    </row>
    <row r="434" spans="1:10" ht="12.75">
      <c r="A434" s="62"/>
      <c r="B434" s="94"/>
      <c r="C434" s="74"/>
      <c r="D434" s="75" t="s">
        <v>250</v>
      </c>
      <c r="E434" s="75"/>
      <c r="F434" s="77"/>
      <c r="G434" s="75"/>
      <c r="H434" s="77"/>
      <c r="I434" s="101"/>
      <c r="J434" s="98"/>
    </row>
    <row r="435" spans="1:10" ht="12.75">
      <c r="A435" s="62"/>
      <c r="B435" s="94"/>
      <c r="C435" s="74"/>
      <c r="D435" s="75"/>
      <c r="E435" s="75"/>
      <c r="F435" s="77"/>
      <c r="G435" s="75"/>
      <c r="H435" s="77"/>
      <c r="I435" s="101"/>
      <c r="J435" s="98"/>
    </row>
    <row r="436" spans="1:10" ht="12.75">
      <c r="A436" s="62"/>
      <c r="B436" s="94"/>
      <c r="C436" s="74"/>
      <c r="D436" s="75"/>
      <c r="E436" s="75"/>
      <c r="F436" s="77"/>
      <c r="G436" s="75"/>
      <c r="H436" s="77"/>
      <c r="I436" s="101"/>
      <c r="J436" s="98"/>
    </row>
    <row r="437" spans="1:10" ht="12.75">
      <c r="A437" s="62"/>
      <c r="B437" s="94"/>
      <c r="C437" s="74"/>
      <c r="D437" s="75"/>
      <c r="E437" s="75"/>
      <c r="F437" s="77"/>
      <c r="G437" s="75"/>
      <c r="H437" s="77"/>
      <c r="I437" s="101"/>
      <c r="J437" s="98"/>
    </row>
    <row r="438" spans="1:10" ht="12.75">
      <c r="A438" s="62"/>
      <c r="B438" s="94"/>
      <c r="C438" s="74"/>
      <c r="D438" s="75"/>
      <c r="E438" s="75"/>
      <c r="F438" s="77"/>
      <c r="G438" s="75"/>
      <c r="H438" s="77"/>
      <c r="I438" s="101"/>
      <c r="J438" s="98"/>
    </row>
    <row r="439" spans="1:10" ht="12.75">
      <c r="A439" s="62"/>
      <c r="B439" s="94"/>
      <c r="C439" s="74"/>
      <c r="D439" s="75"/>
      <c r="E439" s="75"/>
      <c r="F439" s="77"/>
      <c r="G439" s="75"/>
      <c r="H439" s="77"/>
      <c r="I439" s="101"/>
      <c r="J439" s="98"/>
    </row>
    <row r="440" spans="1:10" ht="12.75">
      <c r="A440" s="62"/>
      <c r="B440" s="94"/>
      <c r="C440" s="74"/>
      <c r="D440" s="75"/>
      <c r="E440" s="75"/>
      <c r="F440" s="77"/>
      <c r="G440" s="75"/>
      <c r="H440" s="77"/>
      <c r="I440" s="101"/>
      <c r="J440" s="98"/>
    </row>
    <row r="441" spans="1:10" ht="12.75">
      <c r="A441" s="62"/>
      <c r="B441" s="94"/>
      <c r="C441" s="74"/>
      <c r="D441" s="75"/>
      <c r="E441" s="75"/>
      <c r="F441" s="77"/>
      <c r="G441" s="75"/>
      <c r="H441" s="77"/>
      <c r="I441" s="101"/>
      <c r="J441" s="98"/>
    </row>
    <row r="442" spans="1:10" ht="12.75">
      <c r="A442" s="62"/>
      <c r="B442" s="94"/>
      <c r="C442" s="74"/>
      <c r="D442" s="75"/>
      <c r="E442" s="75"/>
      <c r="F442" s="77"/>
      <c r="G442" s="75"/>
      <c r="H442" s="77"/>
      <c r="I442" s="101"/>
      <c r="J442" s="98"/>
    </row>
    <row r="443" spans="1:10" ht="12.75">
      <c r="A443" s="62"/>
      <c r="B443" s="94"/>
      <c r="C443" s="74"/>
      <c r="D443" s="75"/>
      <c r="E443" s="75"/>
      <c r="F443" s="77"/>
      <c r="G443" s="75"/>
      <c r="H443" s="77"/>
      <c r="I443" s="101"/>
      <c r="J443" s="98"/>
    </row>
    <row r="444" spans="1:10" ht="12.75">
      <c r="A444" s="62" t="s">
        <v>251</v>
      </c>
      <c r="B444" s="94"/>
      <c r="C444" s="74"/>
      <c r="D444" s="75"/>
      <c r="E444" s="75"/>
      <c r="F444" s="77"/>
      <c r="G444" s="75"/>
      <c r="H444" s="77"/>
      <c r="I444" s="101"/>
      <c r="J444" s="98">
        <f>SUM(J418:J443)</f>
        <v>1670607</v>
      </c>
    </row>
    <row r="445" spans="1:10" ht="12.75">
      <c r="A445" s="63"/>
      <c r="B445" s="94"/>
      <c r="C445" s="74"/>
      <c r="D445" s="75"/>
      <c r="E445" s="75"/>
      <c r="F445" s="77"/>
      <c r="G445" s="75"/>
      <c r="H445" s="77"/>
      <c r="I445" s="101"/>
      <c r="J445" s="98"/>
    </row>
    <row r="446" spans="1:10" ht="12.75">
      <c r="A446" s="63"/>
      <c r="B446" s="95"/>
      <c r="C446" s="88"/>
      <c r="D446" s="89"/>
      <c r="E446" s="89"/>
      <c r="F446" s="90"/>
      <c r="G446" s="89"/>
      <c r="H446" s="90"/>
      <c r="I446" s="102"/>
      <c r="J446" s="99"/>
    </row>
    <row r="447" spans="1:10" ht="12.75"/>
    <row r="448" spans="1:10" ht="12.75"/>
    <row r="449" spans="1:10" ht="12.75">
      <c r="A449" s="27" t="s">
        <v>223</v>
      </c>
      <c r="B449" s="27"/>
      <c r="C449" s="27"/>
      <c r="D449" s="27"/>
      <c r="E449" s="27"/>
      <c r="F449" s="27"/>
    </row>
    <row r="450" spans="1:10" ht="12.75">
      <c r="F450" s="36" t="s">
        <v>119</v>
      </c>
    </row>
    <row r="451" spans="1:10" ht="12.75"/>
    <row r="452" spans="1:10" ht="12.75">
      <c r="A452" s="62" t="s">
        <v>224</v>
      </c>
      <c r="B452" s="62" t="s">
        <v>1</v>
      </c>
      <c r="C452" s="62"/>
      <c r="D452" s="62"/>
      <c r="E452" s="62"/>
      <c r="F452" s="62"/>
      <c r="G452" s="63" t="s">
        <v>119</v>
      </c>
      <c r="H452" s="62" t="s">
        <v>225</v>
      </c>
      <c r="I452" s="64" t="s">
        <v>252</v>
      </c>
      <c r="J452" s="63"/>
    </row>
    <row r="453" spans="1:10" ht="12.75">
      <c r="A453" s="62" t="s">
        <v>227</v>
      </c>
      <c r="B453" s="65">
        <v>45980</v>
      </c>
      <c r="C453" s="62"/>
      <c r="D453" s="62"/>
      <c r="E453" s="62"/>
      <c r="F453" s="62"/>
      <c r="G453" s="63"/>
      <c r="H453" s="62" t="s">
        <v>228</v>
      </c>
      <c r="I453" s="66" t="s">
        <v>175</v>
      </c>
      <c r="J453" s="63"/>
    </row>
    <row r="454" spans="1:10" ht="12.75">
      <c r="A454" s="62"/>
      <c r="B454" s="62"/>
      <c r="C454" s="62"/>
      <c r="D454" s="62"/>
      <c r="E454" s="62"/>
      <c r="F454" s="62"/>
      <c r="G454" s="63"/>
      <c r="H454" s="63"/>
      <c r="I454" s="63"/>
      <c r="J454" s="63"/>
    </row>
    <row r="455" spans="1:10" ht="12.75">
      <c r="A455" s="62"/>
      <c r="B455" s="67" t="s">
        <v>229</v>
      </c>
      <c r="C455" s="67" t="s">
        <v>230</v>
      </c>
      <c r="D455" s="67" t="s">
        <v>231</v>
      </c>
      <c r="E455" s="67" t="s">
        <v>232</v>
      </c>
      <c r="F455" s="67" t="s">
        <v>233</v>
      </c>
      <c r="G455" s="67" t="s">
        <v>234</v>
      </c>
      <c r="H455" s="67" t="s">
        <v>235</v>
      </c>
      <c r="I455" s="67" t="s">
        <v>236</v>
      </c>
      <c r="J455" s="67" t="s">
        <v>235</v>
      </c>
    </row>
    <row r="456" spans="1:10" ht="12.75">
      <c r="A456" s="62"/>
      <c r="B456" s="68"/>
      <c r="C456" s="69"/>
      <c r="D456" s="70"/>
      <c r="E456" s="70"/>
      <c r="F456" s="71"/>
      <c r="G456" s="70"/>
      <c r="H456" s="71"/>
      <c r="I456" s="70"/>
      <c r="J456" s="72"/>
    </row>
    <row r="457" spans="1:10" ht="12.75">
      <c r="B457" s="93">
        <v>1</v>
      </c>
      <c r="C457" s="32" t="s">
        <v>237</v>
      </c>
      <c r="D457" s="75" t="s">
        <v>238</v>
      </c>
      <c r="E457" s="75"/>
      <c r="F457" s="76">
        <v>45980</v>
      </c>
      <c r="G457" s="75"/>
      <c r="H457" s="77"/>
      <c r="I457" s="101" t="s">
        <v>138</v>
      </c>
      <c r="J457" s="77">
        <v>835303</v>
      </c>
    </row>
    <row r="458" spans="1:10" ht="12.75">
      <c r="A458" s="62"/>
      <c r="B458" s="73"/>
      <c r="C458" s="74"/>
      <c r="D458" s="75"/>
      <c r="E458" s="75"/>
      <c r="F458" s="77"/>
      <c r="G458" s="75"/>
      <c r="H458" s="77"/>
      <c r="I458" s="75"/>
      <c r="J458" s="77"/>
    </row>
    <row r="459" spans="1:10" ht="12.75">
      <c r="B459" s="78"/>
      <c r="C459" s="79"/>
      <c r="D459" s="75"/>
      <c r="E459" s="75"/>
      <c r="F459" s="76"/>
      <c r="G459" s="75"/>
      <c r="H459" s="77"/>
      <c r="I459" s="75"/>
      <c r="J459" s="77"/>
    </row>
    <row r="460" spans="1:10" ht="12.75">
      <c r="B460" s="78"/>
      <c r="C460" s="31"/>
      <c r="D460" s="75"/>
      <c r="E460" s="75"/>
      <c r="F460" s="77"/>
      <c r="G460" s="75"/>
      <c r="H460" s="77"/>
      <c r="I460" s="75"/>
      <c r="J460" s="77"/>
    </row>
    <row r="461" spans="1:10" ht="12.75">
      <c r="A461" s="62"/>
      <c r="B461" s="78" t="s">
        <v>119</v>
      </c>
      <c r="C461" s="79" t="s">
        <v>119</v>
      </c>
      <c r="D461" s="75" t="s">
        <v>119</v>
      </c>
      <c r="E461" s="75" t="s">
        <v>119</v>
      </c>
      <c r="F461" s="76" t="s">
        <v>119</v>
      </c>
      <c r="G461" s="75" t="s">
        <v>119</v>
      </c>
      <c r="H461" s="77" t="s">
        <v>119</v>
      </c>
      <c r="I461" s="75" t="s">
        <v>119</v>
      </c>
      <c r="J461" s="77" t="s">
        <v>119</v>
      </c>
    </row>
    <row r="462" spans="1:10" ht="12.75">
      <c r="A462" s="62"/>
      <c r="B462" s="78"/>
      <c r="C462" s="31"/>
      <c r="D462" s="75"/>
      <c r="E462" s="75"/>
      <c r="F462" s="77"/>
      <c r="G462" s="75"/>
      <c r="H462" s="77"/>
      <c r="I462" s="75"/>
      <c r="J462" s="77"/>
    </row>
    <row r="463" spans="1:10" ht="12.75">
      <c r="A463" s="62"/>
      <c r="B463" s="80"/>
      <c r="C463" s="32"/>
      <c r="D463" s="75"/>
      <c r="E463" s="75"/>
      <c r="F463" s="76"/>
      <c r="G463" s="75"/>
      <c r="H463" s="77"/>
      <c r="I463" s="75"/>
      <c r="J463" s="77"/>
    </row>
    <row r="464" spans="1:10" ht="12.75">
      <c r="B464" s="73"/>
      <c r="C464" s="74"/>
      <c r="D464" s="75"/>
      <c r="E464" s="75"/>
      <c r="F464" s="77"/>
      <c r="G464" s="75"/>
      <c r="H464" s="77"/>
      <c r="I464" s="75"/>
      <c r="J464" s="77"/>
    </row>
    <row r="465" spans="1:11" ht="12.75">
      <c r="A465" s="62"/>
      <c r="B465" s="73"/>
      <c r="C465" s="74"/>
      <c r="D465" s="75"/>
      <c r="E465" s="75"/>
      <c r="F465" s="77"/>
      <c r="G465" s="75"/>
      <c r="H465" s="77"/>
      <c r="I465" s="75"/>
      <c r="J465" s="77"/>
    </row>
    <row r="466" spans="1:11" ht="12.75">
      <c r="A466" s="62"/>
      <c r="B466" s="73"/>
      <c r="C466" s="74"/>
      <c r="D466" s="75"/>
      <c r="E466" s="75"/>
      <c r="F466" s="77"/>
      <c r="G466" s="75"/>
      <c r="H466" s="77"/>
      <c r="I466" s="75"/>
      <c r="J466" s="77"/>
    </row>
    <row r="467" spans="1:11" ht="12.75">
      <c r="A467" s="62"/>
      <c r="B467" s="73"/>
      <c r="C467" s="74"/>
      <c r="D467" s="75"/>
      <c r="E467" s="75"/>
      <c r="F467" s="77"/>
      <c r="G467" s="75"/>
      <c r="H467" s="77"/>
      <c r="I467" s="75"/>
      <c r="J467" s="77"/>
    </row>
    <row r="468" spans="1:11" ht="12.75">
      <c r="A468" s="62"/>
      <c r="B468" s="73"/>
      <c r="C468" s="74"/>
      <c r="D468" s="75"/>
      <c r="E468" s="75"/>
      <c r="F468" s="77"/>
      <c r="G468" s="75"/>
      <c r="H468" s="77"/>
      <c r="I468" s="75"/>
      <c r="J468" s="77"/>
    </row>
    <row r="469" spans="1:11" ht="12.75">
      <c r="A469" s="62"/>
      <c r="B469" s="73"/>
      <c r="C469" s="74"/>
      <c r="D469" s="75"/>
      <c r="E469" s="75"/>
      <c r="F469" s="77"/>
      <c r="G469" s="75"/>
      <c r="H469" s="77"/>
      <c r="I469" s="75"/>
      <c r="J469" s="77"/>
    </row>
    <row r="470" spans="1:11" ht="12.75">
      <c r="A470" s="81"/>
      <c r="B470" s="82"/>
      <c r="C470" s="83"/>
      <c r="D470" s="84"/>
      <c r="E470" s="84"/>
      <c r="F470" s="85"/>
      <c r="G470" s="84"/>
      <c r="H470" s="85"/>
      <c r="I470" s="84"/>
      <c r="J470" s="85"/>
      <c r="K470" s="86"/>
    </row>
    <row r="471" spans="1:11" ht="12.75">
      <c r="A471" s="62"/>
      <c r="B471" s="73"/>
      <c r="C471" s="74"/>
      <c r="D471" s="75"/>
      <c r="E471" s="75"/>
      <c r="F471" s="77"/>
      <c r="G471" s="75"/>
      <c r="H471" s="77"/>
      <c r="I471" s="75"/>
      <c r="J471" s="77"/>
    </row>
    <row r="472" spans="1:11" ht="12.75">
      <c r="A472" s="62"/>
      <c r="B472" s="73"/>
      <c r="C472" s="74"/>
      <c r="D472" s="75"/>
      <c r="E472" s="75"/>
      <c r="F472" s="77"/>
      <c r="G472" s="75"/>
      <c r="H472" s="77"/>
      <c r="I472" s="75"/>
      <c r="J472" s="77"/>
    </row>
    <row r="473" spans="1:11" ht="12.75">
      <c r="A473" s="62"/>
      <c r="B473" s="73"/>
      <c r="C473" s="74"/>
      <c r="D473" s="75"/>
      <c r="E473" s="75"/>
      <c r="F473" s="77"/>
      <c r="G473" s="75"/>
      <c r="H473" s="77"/>
      <c r="I473" s="75"/>
      <c r="J473" s="77"/>
    </row>
    <row r="474" spans="1:11" ht="12.75">
      <c r="A474" s="62"/>
      <c r="B474" s="73"/>
      <c r="C474" s="74"/>
      <c r="D474" s="75"/>
      <c r="E474" s="75"/>
      <c r="F474" s="77"/>
      <c r="G474" s="75"/>
      <c r="H474" s="77"/>
      <c r="I474" s="75"/>
      <c r="J474" s="77"/>
    </row>
    <row r="475" spans="1:11" ht="12.75">
      <c r="A475" s="62"/>
      <c r="B475" s="73"/>
      <c r="C475" s="74"/>
      <c r="D475" s="75"/>
      <c r="E475" s="75"/>
      <c r="F475" s="77"/>
      <c r="G475" s="75"/>
      <c r="H475" s="77"/>
      <c r="I475" s="75"/>
      <c r="J475" s="77"/>
    </row>
    <row r="476" spans="1:11" ht="12.75">
      <c r="A476" s="62"/>
      <c r="B476" s="73"/>
      <c r="C476" s="74"/>
      <c r="D476" s="75"/>
      <c r="E476" s="75"/>
      <c r="F476" s="77"/>
      <c r="G476" s="75"/>
      <c r="H476" s="77"/>
      <c r="I476" s="75"/>
      <c r="J476" s="77"/>
    </row>
    <row r="477" spans="1:11" ht="12.75">
      <c r="A477" s="62"/>
      <c r="B477" s="73"/>
      <c r="C477" s="74"/>
      <c r="D477" s="75"/>
      <c r="E477" s="75"/>
      <c r="F477" s="77"/>
      <c r="G477" s="75"/>
      <c r="H477" s="77"/>
      <c r="I477" s="75"/>
      <c r="J477" s="77"/>
    </row>
    <row r="478" spans="1:11" ht="12.75">
      <c r="A478" s="62"/>
      <c r="B478" s="73"/>
      <c r="C478" s="74"/>
      <c r="D478" s="75"/>
      <c r="E478" s="75"/>
      <c r="F478" s="77"/>
      <c r="G478" s="75"/>
      <c r="H478" s="77"/>
      <c r="I478" s="75"/>
      <c r="J478" s="77"/>
    </row>
    <row r="479" spans="1:11" ht="12.75">
      <c r="A479" s="62"/>
      <c r="B479" s="73"/>
      <c r="C479" s="74"/>
      <c r="D479" s="75"/>
      <c r="E479" s="75"/>
      <c r="F479" s="77"/>
      <c r="G479" s="75"/>
      <c r="H479" s="77"/>
      <c r="I479" s="75"/>
      <c r="J479" s="77"/>
    </row>
    <row r="480" spans="1:11" ht="12.75">
      <c r="A480" s="62"/>
      <c r="B480" s="73"/>
      <c r="C480" s="74"/>
      <c r="D480" s="75"/>
      <c r="E480" s="75"/>
      <c r="F480" s="77"/>
      <c r="G480" s="75"/>
      <c r="H480" s="77"/>
      <c r="I480" s="75"/>
      <c r="J480" s="77"/>
    </row>
    <row r="481" spans="1:10" ht="12.75">
      <c r="A481" s="62"/>
      <c r="B481" s="73"/>
      <c r="C481" s="74"/>
      <c r="D481" s="75"/>
      <c r="E481" s="75"/>
      <c r="F481" s="77"/>
      <c r="G481" s="75"/>
      <c r="H481" s="77"/>
      <c r="I481" s="75"/>
      <c r="J481" s="77"/>
    </row>
    <row r="482" spans="1:10" ht="12.75">
      <c r="A482" s="62"/>
      <c r="B482" s="73"/>
      <c r="C482" s="74"/>
      <c r="D482" s="75"/>
      <c r="E482" s="75"/>
      <c r="F482" s="77"/>
      <c r="G482" s="75"/>
      <c r="H482" s="77"/>
      <c r="I482" s="75"/>
      <c r="J482" s="77"/>
    </row>
    <row r="483" spans="1:10" ht="12.75">
      <c r="A483" s="62"/>
      <c r="B483" s="73"/>
      <c r="C483" s="74"/>
      <c r="D483" s="75"/>
      <c r="E483" s="75"/>
      <c r="F483" s="77"/>
      <c r="G483" s="75"/>
      <c r="H483" s="77"/>
      <c r="I483" s="75"/>
      <c r="J483" s="77"/>
    </row>
    <row r="484" spans="1:10" ht="12.75">
      <c r="A484" s="62"/>
      <c r="B484" s="73"/>
      <c r="C484" s="74"/>
      <c r="D484" s="75"/>
      <c r="E484" s="75"/>
      <c r="F484" s="77"/>
      <c r="G484" s="75"/>
      <c r="H484" s="77"/>
      <c r="I484" s="75"/>
      <c r="J484" s="77"/>
    </row>
    <row r="485" spans="1:10" ht="12.75">
      <c r="A485" s="62"/>
      <c r="B485" s="73"/>
      <c r="C485" s="74"/>
      <c r="D485" s="75"/>
      <c r="E485" s="75"/>
      <c r="F485" s="77"/>
      <c r="G485" s="75"/>
      <c r="H485" s="77"/>
      <c r="I485" s="75"/>
      <c r="J485" s="77"/>
    </row>
    <row r="486" spans="1:10" ht="12.75">
      <c r="A486" s="62" t="s">
        <v>254</v>
      </c>
      <c r="B486" s="73"/>
      <c r="C486" s="74"/>
      <c r="D486" s="75"/>
      <c r="E486" s="75"/>
      <c r="F486" s="77"/>
      <c r="G486" s="75"/>
      <c r="H486" s="77"/>
      <c r="I486" s="75"/>
      <c r="J486" s="77">
        <f>SUM(J457:J484)</f>
        <v>835303</v>
      </c>
    </row>
    <row r="487" spans="1:10" ht="12.75">
      <c r="A487" s="63"/>
      <c r="B487" s="73"/>
      <c r="C487" s="74"/>
      <c r="D487" s="75"/>
      <c r="E487" s="75"/>
      <c r="F487" s="77"/>
      <c r="G487" s="75"/>
      <c r="H487" s="77"/>
      <c r="I487" s="75"/>
      <c r="J487" s="77"/>
    </row>
    <row r="488" spans="1:10" ht="12.75">
      <c r="A488" s="63"/>
      <c r="B488" s="87"/>
      <c r="C488" s="88"/>
      <c r="D488" s="89"/>
      <c r="E488" s="89"/>
      <c r="F488" s="90"/>
      <c r="G488" s="89"/>
      <c r="H488" s="90"/>
      <c r="I488" s="89"/>
      <c r="J488" s="90"/>
    </row>
    <row r="489" spans="1:10" ht="12.75"/>
    <row r="490" spans="1:10" ht="12.75"/>
    <row r="491" spans="1:10" ht="12.75">
      <c r="A491" s="62" t="s">
        <v>224</v>
      </c>
      <c r="B491" s="62" t="s">
        <v>1</v>
      </c>
      <c r="C491" s="62"/>
      <c r="D491" s="62"/>
      <c r="E491" s="62"/>
      <c r="F491" s="62"/>
      <c r="G491" s="63" t="s">
        <v>119</v>
      </c>
      <c r="H491" s="62" t="s">
        <v>225</v>
      </c>
      <c r="I491" s="64" t="s">
        <v>226</v>
      </c>
      <c r="J491" s="63"/>
    </row>
    <row r="492" spans="1:10" ht="12.75">
      <c r="A492" s="62" t="s">
        <v>227</v>
      </c>
      <c r="B492" s="65">
        <v>45981</v>
      </c>
      <c r="C492" s="62"/>
      <c r="D492" s="62"/>
      <c r="E492" s="62"/>
      <c r="F492" s="62"/>
      <c r="G492" s="63"/>
      <c r="H492" s="62" t="s">
        <v>228</v>
      </c>
      <c r="I492" s="66" t="s">
        <v>115</v>
      </c>
      <c r="J492" s="63"/>
    </row>
    <row r="493" spans="1:10" ht="12.75">
      <c r="A493" s="62"/>
      <c r="B493" s="62"/>
      <c r="C493" s="62"/>
      <c r="D493" s="62"/>
      <c r="E493" s="62"/>
      <c r="F493" s="62"/>
      <c r="G493" s="63"/>
      <c r="H493" s="63"/>
      <c r="I493" s="63"/>
      <c r="J493" s="63"/>
    </row>
    <row r="494" spans="1:10" ht="12.75">
      <c r="A494" s="62"/>
      <c r="B494" s="67" t="s">
        <v>229</v>
      </c>
      <c r="C494" s="67" t="s">
        <v>230</v>
      </c>
      <c r="D494" s="67" t="s">
        <v>231</v>
      </c>
      <c r="E494" s="67" t="s">
        <v>232</v>
      </c>
      <c r="F494" s="67" t="s">
        <v>233</v>
      </c>
      <c r="G494" s="67" t="s">
        <v>234</v>
      </c>
      <c r="H494" s="67" t="s">
        <v>235</v>
      </c>
      <c r="I494" s="67" t="s">
        <v>236</v>
      </c>
      <c r="J494" s="67" t="s">
        <v>235</v>
      </c>
    </row>
    <row r="495" spans="1:10" ht="12.75">
      <c r="A495" s="62"/>
      <c r="B495" s="68"/>
      <c r="C495" s="69"/>
      <c r="D495" s="70"/>
      <c r="E495" s="70"/>
      <c r="F495" s="71"/>
      <c r="G495" s="70"/>
      <c r="H495" s="71"/>
      <c r="I495" s="70"/>
      <c r="J495" s="72" t="s">
        <v>119</v>
      </c>
    </row>
    <row r="496" spans="1:10" ht="12.75">
      <c r="B496" s="73">
        <v>1</v>
      </c>
      <c r="C496" s="74" t="s">
        <v>237</v>
      </c>
      <c r="D496" s="75" t="s">
        <v>238</v>
      </c>
      <c r="E496" s="75"/>
      <c r="F496" s="76">
        <v>45981</v>
      </c>
      <c r="G496" s="75" t="s">
        <v>131</v>
      </c>
      <c r="H496" s="77">
        <v>1572226</v>
      </c>
      <c r="I496" s="75" t="s">
        <v>119</v>
      </c>
      <c r="J496" s="77" t="s">
        <v>119</v>
      </c>
    </row>
    <row r="497" spans="1:11" ht="12.75">
      <c r="A497" s="62"/>
      <c r="B497" s="73"/>
      <c r="C497" s="74"/>
      <c r="D497" s="75"/>
      <c r="E497" s="75"/>
      <c r="F497" s="77"/>
      <c r="G497" s="75"/>
      <c r="H497" s="77"/>
      <c r="I497" s="75"/>
      <c r="J497" s="77"/>
    </row>
    <row r="498" spans="1:11" ht="12.75">
      <c r="B498" s="78" t="s">
        <v>119</v>
      </c>
      <c r="C498" s="31" t="s">
        <v>119</v>
      </c>
      <c r="D498" s="75" t="s">
        <v>119</v>
      </c>
      <c r="E498" s="75" t="s">
        <v>119</v>
      </c>
      <c r="F498" s="76" t="s">
        <v>119</v>
      </c>
      <c r="G498" s="75" t="s">
        <v>119</v>
      </c>
      <c r="H498" s="77" t="s">
        <v>119</v>
      </c>
      <c r="I498" s="75" t="s">
        <v>119</v>
      </c>
      <c r="J498" s="77" t="s">
        <v>119</v>
      </c>
    </row>
    <row r="499" spans="1:11" ht="12.75">
      <c r="B499" s="78"/>
      <c r="C499" s="31"/>
      <c r="D499" s="75"/>
      <c r="E499" s="75"/>
      <c r="F499" s="77"/>
      <c r="G499" s="75"/>
      <c r="H499" s="77"/>
      <c r="I499" s="75"/>
      <c r="J499" s="77"/>
    </row>
    <row r="500" spans="1:11" ht="12.75">
      <c r="A500" s="62"/>
      <c r="B500" s="78" t="s">
        <v>119</v>
      </c>
      <c r="C500" s="79" t="s">
        <v>119</v>
      </c>
      <c r="D500" s="75" t="s">
        <v>119</v>
      </c>
      <c r="E500" s="75" t="s">
        <v>119</v>
      </c>
      <c r="F500" s="76" t="s">
        <v>119</v>
      </c>
      <c r="G500" s="75" t="s">
        <v>119</v>
      </c>
      <c r="H500" s="77" t="s">
        <v>119</v>
      </c>
      <c r="I500" s="75" t="s">
        <v>119</v>
      </c>
      <c r="J500" s="77" t="s">
        <v>119</v>
      </c>
    </row>
    <row r="501" spans="1:11" ht="12.75">
      <c r="A501" s="62"/>
      <c r="B501" s="78"/>
      <c r="C501" s="31"/>
      <c r="D501" s="75"/>
      <c r="E501" s="75"/>
      <c r="F501" s="77"/>
      <c r="G501" s="75"/>
      <c r="H501" s="77"/>
      <c r="I501" s="75"/>
      <c r="J501" s="77"/>
    </row>
    <row r="502" spans="1:11" ht="12.75">
      <c r="A502" s="62"/>
      <c r="B502" s="80"/>
      <c r="C502" s="32"/>
      <c r="D502" s="75"/>
      <c r="E502" s="75"/>
      <c r="F502" s="76"/>
      <c r="G502" s="75"/>
      <c r="H502" s="77"/>
      <c r="I502" s="75"/>
      <c r="J502" s="77"/>
    </row>
    <row r="503" spans="1:11" ht="12.75">
      <c r="B503" s="73"/>
      <c r="C503" s="74"/>
      <c r="D503" s="75"/>
      <c r="E503" s="75"/>
      <c r="F503" s="77"/>
      <c r="G503" s="75"/>
      <c r="H503" s="77"/>
      <c r="I503" s="75"/>
      <c r="J503" s="77"/>
    </row>
    <row r="504" spans="1:11" ht="12.75">
      <c r="A504" s="62"/>
      <c r="B504" s="73"/>
      <c r="C504" s="74"/>
      <c r="D504" s="75"/>
      <c r="E504" s="75"/>
      <c r="F504" s="77"/>
      <c r="G504" s="75"/>
      <c r="H504" s="77"/>
      <c r="I504" s="75"/>
      <c r="J504" s="77"/>
    </row>
    <row r="505" spans="1:11" ht="12.75">
      <c r="A505" s="62"/>
      <c r="B505" s="73"/>
      <c r="C505" s="74"/>
      <c r="D505" s="75"/>
      <c r="E505" s="75"/>
      <c r="F505" s="77"/>
      <c r="G505" s="75"/>
      <c r="H505" s="77"/>
      <c r="I505" s="75"/>
      <c r="J505" s="77"/>
    </row>
    <row r="506" spans="1:11" ht="12.75">
      <c r="A506" s="62"/>
      <c r="B506" s="73"/>
      <c r="C506" s="74"/>
      <c r="D506" s="75"/>
      <c r="E506" s="75"/>
      <c r="F506" s="77"/>
      <c r="G506" s="75"/>
      <c r="H506" s="77"/>
      <c r="I506" s="75"/>
      <c r="J506" s="77"/>
    </row>
    <row r="507" spans="1:11" ht="12.75">
      <c r="A507" s="62"/>
      <c r="B507" s="73"/>
      <c r="C507" s="74"/>
      <c r="D507" s="75"/>
      <c r="E507" s="75"/>
      <c r="F507" s="77"/>
      <c r="G507" s="75"/>
      <c r="H507" s="77"/>
      <c r="I507" s="75"/>
      <c r="J507" s="77"/>
    </row>
    <row r="508" spans="1:11" ht="12.75">
      <c r="A508" s="62"/>
      <c r="B508" s="73"/>
      <c r="C508" s="74"/>
      <c r="D508" s="75"/>
      <c r="E508" s="75"/>
      <c r="F508" s="77"/>
      <c r="G508" s="75"/>
      <c r="H508" s="77"/>
      <c r="I508" s="75"/>
      <c r="J508" s="77"/>
    </row>
    <row r="509" spans="1:11" ht="12.75">
      <c r="A509" s="81"/>
      <c r="B509" s="82"/>
      <c r="C509" s="83"/>
      <c r="D509" s="84"/>
      <c r="E509" s="84"/>
      <c r="F509" s="85"/>
      <c r="G509" s="84"/>
      <c r="H509" s="85"/>
      <c r="I509" s="84"/>
      <c r="J509" s="85"/>
      <c r="K509" s="86"/>
    </row>
    <row r="510" spans="1:11" ht="12.75">
      <c r="A510" s="62"/>
      <c r="B510" s="73"/>
      <c r="C510" s="74"/>
      <c r="D510" s="75"/>
      <c r="E510" s="75"/>
      <c r="F510" s="77"/>
      <c r="G510" s="75"/>
      <c r="H510" s="77"/>
      <c r="I510" s="75"/>
      <c r="J510" s="77"/>
    </row>
    <row r="511" spans="1:11" ht="12.75">
      <c r="A511" s="62"/>
      <c r="B511" s="73"/>
      <c r="C511" s="74"/>
      <c r="D511" s="75"/>
      <c r="E511" s="75"/>
      <c r="F511" s="77"/>
      <c r="G511" s="75"/>
      <c r="H511" s="77"/>
      <c r="I511" s="75"/>
      <c r="J511" s="77"/>
    </row>
    <row r="512" spans="1:11" ht="12.75">
      <c r="A512" s="62"/>
      <c r="B512" s="73"/>
      <c r="C512" s="74"/>
      <c r="D512" s="75"/>
      <c r="E512" s="75"/>
      <c r="F512" s="77"/>
      <c r="G512" s="75"/>
      <c r="H512" s="77"/>
      <c r="I512" s="75"/>
      <c r="J512" s="77"/>
    </row>
    <row r="513" spans="1:10" ht="12.75">
      <c r="A513" s="62"/>
      <c r="B513" s="73"/>
      <c r="C513" s="74"/>
      <c r="D513" s="75"/>
      <c r="E513" s="75"/>
      <c r="F513" s="77"/>
      <c r="G513" s="75"/>
      <c r="H513" s="77"/>
      <c r="I513" s="75"/>
      <c r="J513" s="77"/>
    </row>
    <row r="514" spans="1:10" ht="12.75">
      <c r="A514" s="62"/>
      <c r="B514" s="73"/>
      <c r="C514" s="74"/>
      <c r="D514" s="75"/>
      <c r="E514" s="75"/>
      <c r="F514" s="77"/>
      <c r="G514" s="75"/>
      <c r="H514" s="77"/>
      <c r="I514" s="75"/>
      <c r="J514" s="77"/>
    </row>
    <row r="515" spans="1:10" ht="12.75">
      <c r="A515" s="62"/>
      <c r="B515" s="73"/>
      <c r="C515" s="74"/>
      <c r="D515" s="75"/>
      <c r="E515" s="75"/>
      <c r="F515" s="77"/>
      <c r="G515" s="75"/>
      <c r="H515" s="77"/>
      <c r="I515" s="75"/>
      <c r="J515" s="77"/>
    </row>
    <row r="516" spans="1:10" ht="12.75">
      <c r="A516" s="62"/>
      <c r="B516" s="73"/>
      <c r="C516" s="74"/>
      <c r="D516" s="75"/>
      <c r="E516" s="75"/>
      <c r="F516" s="77"/>
      <c r="G516" s="75"/>
      <c r="H516" s="77"/>
      <c r="I516" s="75"/>
      <c r="J516" s="77"/>
    </row>
    <row r="517" spans="1:10" ht="12.75">
      <c r="A517" s="62"/>
      <c r="B517" s="73"/>
      <c r="C517" s="74"/>
      <c r="D517" s="75"/>
      <c r="E517" s="75"/>
      <c r="F517" s="77"/>
      <c r="G517" s="75"/>
      <c r="H517" s="77"/>
      <c r="I517" s="75"/>
      <c r="J517" s="77"/>
    </row>
    <row r="518" spans="1:10" ht="12.75">
      <c r="A518" s="62"/>
      <c r="B518" s="73"/>
      <c r="C518" s="74"/>
      <c r="D518" s="75"/>
      <c r="E518" s="75"/>
      <c r="F518" s="77"/>
      <c r="G518" s="75"/>
      <c r="H518" s="77"/>
      <c r="I518" s="75"/>
      <c r="J518" s="77"/>
    </row>
    <row r="519" spans="1:10" ht="12.75">
      <c r="A519" s="62"/>
      <c r="B519" s="73"/>
      <c r="C519" s="74"/>
      <c r="D519" s="75"/>
      <c r="E519" s="75"/>
      <c r="F519" s="77"/>
      <c r="G519" s="75"/>
      <c r="H519" s="77"/>
      <c r="I519" s="75"/>
      <c r="J519" s="77"/>
    </row>
    <row r="520" spans="1:10" ht="12.75">
      <c r="A520" s="62"/>
      <c r="B520" s="73"/>
      <c r="C520" s="74"/>
      <c r="D520" s="75"/>
      <c r="E520" s="75"/>
      <c r="F520" s="77"/>
      <c r="G520" s="75"/>
      <c r="H520" s="77"/>
      <c r="I520" s="75"/>
      <c r="J520" s="77"/>
    </row>
    <row r="521" spans="1:10" ht="12.75">
      <c r="A521" s="62"/>
      <c r="B521" s="73"/>
      <c r="C521" s="74"/>
      <c r="D521" s="75"/>
      <c r="E521" s="75"/>
      <c r="F521" s="77"/>
      <c r="G521" s="75"/>
      <c r="H521" s="77"/>
      <c r="I521" s="75"/>
      <c r="J521" s="77"/>
    </row>
    <row r="522" spans="1:10" ht="12.75">
      <c r="A522" s="62"/>
      <c r="B522" s="73"/>
      <c r="C522" s="74"/>
      <c r="D522" s="75"/>
      <c r="E522" s="75"/>
      <c r="F522" s="77"/>
      <c r="G522" s="75"/>
      <c r="H522" s="77"/>
      <c r="I522" s="75"/>
      <c r="J522" s="77"/>
    </row>
    <row r="523" spans="1:10" ht="12.75">
      <c r="A523" s="62"/>
      <c r="B523" s="73"/>
      <c r="C523" s="74"/>
      <c r="D523" s="75"/>
      <c r="E523" s="75"/>
      <c r="F523" s="77"/>
      <c r="G523" s="75"/>
      <c r="H523" s="77"/>
      <c r="I523" s="75"/>
      <c r="J523" s="77"/>
    </row>
    <row r="524" spans="1:10" ht="12.75">
      <c r="A524" s="62"/>
      <c r="B524" s="73"/>
      <c r="C524" s="74"/>
      <c r="D524" s="75"/>
      <c r="E524" s="75"/>
      <c r="F524" s="77"/>
      <c r="G524" s="75"/>
      <c r="H524" s="77"/>
      <c r="I524" s="75"/>
      <c r="J524" s="77"/>
    </row>
    <row r="525" spans="1:10" ht="12.75">
      <c r="A525" s="62" t="s">
        <v>239</v>
      </c>
      <c r="B525" s="73"/>
      <c r="C525" s="74"/>
      <c r="D525" s="75"/>
      <c r="E525" s="75"/>
      <c r="F525" s="77"/>
      <c r="G525" s="75"/>
      <c r="H525" s="77">
        <f>SUM(H496:H524)</f>
        <v>1572226</v>
      </c>
      <c r="I525" s="75"/>
      <c r="J525" s="77">
        <f>SUM(J496:J523)</f>
        <v>0</v>
      </c>
    </row>
    <row r="526" spans="1:10" ht="12.75">
      <c r="A526" s="63"/>
      <c r="B526" s="73"/>
      <c r="C526" s="74"/>
      <c r="D526" s="75"/>
      <c r="E526" s="75"/>
      <c r="F526" s="77"/>
      <c r="G526" s="75"/>
      <c r="H526" s="77"/>
      <c r="I526" s="75"/>
      <c r="J526" s="77"/>
    </row>
    <row r="527" spans="1:10" ht="12.75">
      <c r="A527" s="63"/>
      <c r="B527" s="87"/>
      <c r="C527" s="88"/>
      <c r="D527" s="89"/>
      <c r="E527" s="89"/>
      <c r="F527" s="90"/>
      <c r="G527" s="89"/>
      <c r="H527" s="90"/>
      <c r="I527" s="89"/>
      <c r="J527" s="90"/>
    </row>
    <row r="528" spans="1:10" ht="12.75"/>
    <row r="529" spans="1:10" ht="12.75"/>
    <row r="530" spans="1:10" ht="12.75">
      <c r="A530" s="27" t="s">
        <v>240</v>
      </c>
      <c r="B530" s="27"/>
      <c r="C530" s="27"/>
      <c r="D530" s="27"/>
      <c r="E530" s="27"/>
      <c r="F530" s="27"/>
    </row>
    <row r="531" spans="1:10" ht="12.75"/>
    <row r="532" spans="1:10" ht="12.75"/>
    <row r="533" spans="1:10" ht="12.75">
      <c r="A533" s="62" t="s">
        <v>224</v>
      </c>
      <c r="B533" s="62" t="s">
        <v>1</v>
      </c>
      <c r="C533" s="62"/>
      <c r="D533" s="62"/>
      <c r="E533" s="62"/>
      <c r="F533" s="62"/>
      <c r="G533" s="63" t="s">
        <v>119</v>
      </c>
      <c r="H533" s="62" t="s">
        <v>241</v>
      </c>
      <c r="I533" s="62" t="s">
        <v>255</v>
      </c>
      <c r="J533" s="63"/>
    </row>
    <row r="534" spans="1:10" ht="12.75">
      <c r="A534" s="62" t="s">
        <v>227</v>
      </c>
      <c r="B534" s="65">
        <v>45981</v>
      </c>
      <c r="C534" s="62"/>
      <c r="D534" s="62"/>
      <c r="E534" s="62"/>
      <c r="F534" s="62"/>
      <c r="G534" s="63"/>
      <c r="H534" s="62" t="s">
        <v>228</v>
      </c>
      <c r="I534" s="62" t="s">
        <v>136</v>
      </c>
      <c r="J534" s="63"/>
    </row>
    <row r="535" spans="1:10" ht="12.75">
      <c r="A535" s="62"/>
      <c r="B535" s="62"/>
      <c r="C535" s="62"/>
      <c r="D535" s="62"/>
      <c r="E535" s="62"/>
      <c r="F535" s="62"/>
      <c r="G535" s="63"/>
      <c r="H535" s="63"/>
      <c r="I535" s="63"/>
      <c r="J535" s="63"/>
    </row>
    <row r="536" spans="1:10" ht="12.75">
      <c r="A536" s="62"/>
      <c r="B536" s="67" t="s">
        <v>229</v>
      </c>
      <c r="C536" s="67" t="s">
        <v>230</v>
      </c>
      <c r="D536" s="67" t="s">
        <v>231</v>
      </c>
      <c r="E536" s="67" t="s">
        <v>232</v>
      </c>
      <c r="F536" s="67" t="s">
        <v>233</v>
      </c>
      <c r="G536" s="67" t="s">
        <v>234</v>
      </c>
      <c r="H536" s="67" t="s">
        <v>235</v>
      </c>
      <c r="I536" s="67" t="s">
        <v>236</v>
      </c>
      <c r="J536" s="67" t="s">
        <v>235</v>
      </c>
    </row>
    <row r="537" spans="1:10" ht="12.75">
      <c r="A537" s="62"/>
      <c r="B537" s="92"/>
      <c r="C537" s="69"/>
      <c r="D537" s="70"/>
      <c r="E537" s="70"/>
      <c r="F537" s="71"/>
      <c r="G537" s="70"/>
      <c r="H537" s="71"/>
      <c r="I537" s="100"/>
      <c r="J537" s="96"/>
    </row>
    <row r="538" spans="1:10" ht="12.75">
      <c r="B538" s="93">
        <v>1</v>
      </c>
      <c r="C538" s="32" t="s">
        <v>237</v>
      </c>
      <c r="D538" s="75" t="s">
        <v>238</v>
      </c>
      <c r="E538" s="75"/>
      <c r="F538" s="76">
        <v>45981</v>
      </c>
      <c r="G538" s="75"/>
      <c r="H538" s="77"/>
      <c r="I538" s="101" t="s">
        <v>138</v>
      </c>
      <c r="J538" s="97">
        <v>1572226</v>
      </c>
    </row>
    <row r="539" spans="1:10" ht="12.75">
      <c r="B539" s="93"/>
      <c r="C539" s="32"/>
      <c r="D539" s="75"/>
      <c r="E539" s="75"/>
      <c r="F539" s="76"/>
      <c r="G539" s="75"/>
      <c r="H539" s="77"/>
      <c r="I539" s="101"/>
      <c r="J539" s="97"/>
    </row>
    <row r="540" spans="1:10" ht="12.75">
      <c r="B540" s="93"/>
      <c r="C540" s="32"/>
      <c r="D540" s="75"/>
      <c r="E540" s="75"/>
      <c r="F540" s="76"/>
      <c r="G540" s="75"/>
      <c r="H540" s="77"/>
      <c r="I540" s="101"/>
      <c r="J540" s="97"/>
    </row>
    <row r="541" spans="1:10" ht="12.75">
      <c r="B541" s="93"/>
      <c r="C541" s="32"/>
      <c r="D541" s="75"/>
      <c r="E541" s="75"/>
      <c r="F541" s="91"/>
      <c r="G541" s="75"/>
      <c r="H541" s="77"/>
      <c r="I541" s="101"/>
      <c r="J541" s="97"/>
    </row>
    <row r="542" spans="1:10" ht="12.75">
      <c r="A542" s="62"/>
      <c r="B542" s="93"/>
      <c r="C542" s="32"/>
      <c r="D542" s="75"/>
      <c r="E542" s="75"/>
      <c r="F542" s="76"/>
      <c r="G542" s="75"/>
      <c r="H542" s="77"/>
      <c r="I542" s="101"/>
      <c r="J542" s="97"/>
    </row>
    <row r="543" spans="1:10" ht="12.75">
      <c r="A543" s="62"/>
      <c r="B543" s="93"/>
      <c r="C543" s="32"/>
      <c r="D543" s="75"/>
      <c r="E543" s="75"/>
      <c r="F543" s="76"/>
      <c r="G543" s="75"/>
      <c r="H543" s="77"/>
      <c r="I543" s="101"/>
      <c r="J543" s="97"/>
    </row>
    <row r="544" spans="1:10" ht="12.75">
      <c r="A544" s="62"/>
      <c r="B544" s="93"/>
      <c r="C544" s="32"/>
      <c r="D544" s="75"/>
      <c r="E544" s="75"/>
      <c r="F544" s="76"/>
      <c r="G544" s="75"/>
      <c r="H544" s="77"/>
      <c r="I544" s="101"/>
      <c r="J544" s="97"/>
    </row>
    <row r="545" spans="1:10" ht="12.75">
      <c r="A545" s="62"/>
      <c r="B545" s="93"/>
      <c r="C545" s="32"/>
      <c r="D545" s="75"/>
      <c r="E545" s="75"/>
      <c r="F545" s="91"/>
      <c r="G545" s="75"/>
      <c r="H545" s="77"/>
      <c r="I545" s="101"/>
      <c r="J545" s="97"/>
    </row>
    <row r="546" spans="1:10" ht="12.75">
      <c r="B546" s="93"/>
      <c r="C546" s="32"/>
      <c r="D546" s="75"/>
      <c r="E546" s="75"/>
      <c r="F546" s="76"/>
      <c r="G546" s="75"/>
      <c r="H546" s="77"/>
      <c r="I546" s="101"/>
      <c r="J546" s="97"/>
    </row>
    <row r="547" spans="1:10" ht="12.75">
      <c r="B547" s="93"/>
      <c r="C547" s="32"/>
      <c r="D547" s="75"/>
      <c r="E547" s="75"/>
      <c r="F547" s="76"/>
      <c r="G547" s="75"/>
      <c r="H547" s="77"/>
      <c r="I547" s="101"/>
      <c r="J547" s="97"/>
    </row>
    <row r="548" spans="1:10" ht="12.75">
      <c r="B548" s="93"/>
      <c r="C548" s="32"/>
      <c r="D548" s="75"/>
      <c r="E548" s="75"/>
      <c r="F548" s="76"/>
      <c r="G548" s="75"/>
      <c r="H548" s="77"/>
      <c r="I548" s="101"/>
      <c r="J548" s="97"/>
    </row>
    <row r="549" spans="1:10" ht="12.75">
      <c r="B549" s="93"/>
      <c r="C549" s="32"/>
      <c r="D549" s="75"/>
      <c r="E549" s="75"/>
      <c r="F549" s="91"/>
      <c r="G549" s="75"/>
      <c r="H549" s="77"/>
      <c r="I549" s="101"/>
      <c r="J549" s="97"/>
    </row>
    <row r="550" spans="1:10" ht="12.75">
      <c r="A550" s="62"/>
      <c r="B550" s="93"/>
      <c r="C550" s="32"/>
      <c r="D550" s="75"/>
      <c r="E550" s="75"/>
      <c r="F550" s="76"/>
      <c r="G550" s="75"/>
      <c r="H550" s="77"/>
      <c r="I550" s="101"/>
      <c r="J550" s="97"/>
    </row>
    <row r="551" spans="1:10" ht="12.75">
      <c r="A551" s="62"/>
      <c r="B551" s="93"/>
      <c r="C551" s="32"/>
      <c r="D551" s="75"/>
      <c r="E551" s="75"/>
      <c r="F551" s="76"/>
      <c r="G551" s="75"/>
      <c r="H551" s="77"/>
      <c r="I551" s="101"/>
      <c r="J551" s="97"/>
    </row>
    <row r="552" spans="1:10" ht="12.75">
      <c r="A552" s="62"/>
      <c r="B552" s="93"/>
      <c r="C552" s="32"/>
      <c r="D552" s="75"/>
      <c r="E552" s="75"/>
      <c r="F552" s="76"/>
      <c r="G552" s="75"/>
      <c r="H552" s="77"/>
      <c r="I552" s="101"/>
      <c r="J552" s="97"/>
    </row>
    <row r="553" spans="1:10" ht="12.75">
      <c r="B553" s="94" t="s">
        <v>119</v>
      </c>
      <c r="C553" s="32" t="s">
        <v>119</v>
      </c>
      <c r="D553" s="75" t="s">
        <v>119</v>
      </c>
      <c r="E553" s="75"/>
      <c r="F553" s="76"/>
      <c r="G553" s="75"/>
      <c r="H553" s="77"/>
      <c r="I553" s="101"/>
      <c r="J553" s="98" t="s">
        <v>119</v>
      </c>
    </row>
    <row r="554" spans="1:10" ht="12.75">
      <c r="A554" s="62"/>
      <c r="B554" s="94"/>
      <c r="C554" s="74"/>
      <c r="D554" s="75" t="s">
        <v>250</v>
      </c>
      <c r="E554" s="75"/>
      <c r="F554" s="77"/>
      <c r="G554" s="75"/>
      <c r="H554" s="77"/>
      <c r="I554" s="101"/>
      <c r="J554" s="98"/>
    </row>
    <row r="555" spans="1:10" ht="12.75">
      <c r="A555" s="62"/>
      <c r="B555" s="94"/>
      <c r="C555" s="74"/>
      <c r="D555" s="75"/>
      <c r="E555" s="75"/>
      <c r="F555" s="77"/>
      <c r="G555" s="75"/>
      <c r="H555" s="77"/>
      <c r="I555" s="101"/>
      <c r="J555" s="98"/>
    </row>
    <row r="556" spans="1:10" ht="12.75">
      <c r="A556" s="62"/>
      <c r="B556" s="94"/>
      <c r="C556" s="74"/>
      <c r="D556" s="75"/>
      <c r="E556" s="75"/>
      <c r="F556" s="77"/>
      <c r="G556" s="75"/>
      <c r="H556" s="77"/>
      <c r="I556" s="101"/>
      <c r="J556" s="98"/>
    </row>
    <row r="557" spans="1:10" ht="12.75">
      <c r="A557" s="62"/>
      <c r="B557" s="94"/>
      <c r="C557" s="74"/>
      <c r="D557" s="75"/>
      <c r="E557" s="75"/>
      <c r="F557" s="77"/>
      <c r="G557" s="75"/>
      <c r="H557" s="77"/>
      <c r="I557" s="101"/>
      <c r="J557" s="98"/>
    </row>
    <row r="558" spans="1:10" ht="12.75">
      <c r="A558" s="62"/>
      <c r="B558" s="94"/>
      <c r="C558" s="74"/>
      <c r="D558" s="75"/>
      <c r="E558" s="75"/>
      <c r="F558" s="77"/>
      <c r="G558" s="75"/>
      <c r="H558" s="77"/>
      <c r="I558" s="101"/>
      <c r="J558" s="98"/>
    </row>
    <row r="559" spans="1:10" ht="12.75">
      <c r="A559" s="62"/>
      <c r="B559" s="94"/>
      <c r="C559" s="74"/>
      <c r="D559" s="75"/>
      <c r="E559" s="75"/>
      <c r="F559" s="77"/>
      <c r="G559" s="75"/>
      <c r="H559" s="77"/>
      <c r="I559" s="101"/>
      <c r="J559" s="98"/>
    </row>
    <row r="560" spans="1:10" ht="12.75">
      <c r="A560" s="62"/>
      <c r="B560" s="94"/>
      <c r="C560" s="74"/>
      <c r="D560" s="75"/>
      <c r="E560" s="75"/>
      <c r="F560" s="77"/>
      <c r="G560" s="75"/>
      <c r="H560" s="77"/>
      <c r="I560" s="101"/>
      <c r="J560" s="98"/>
    </row>
    <row r="561" spans="1:10" ht="12.75">
      <c r="A561" s="62"/>
      <c r="B561" s="94"/>
      <c r="C561" s="74"/>
      <c r="D561" s="75"/>
      <c r="E561" s="75"/>
      <c r="F561" s="77"/>
      <c r="G561" s="75"/>
      <c r="H561" s="77"/>
      <c r="I561" s="101"/>
      <c r="J561" s="98"/>
    </row>
    <row r="562" spans="1:10" ht="12.75">
      <c r="A562" s="62"/>
      <c r="B562" s="94"/>
      <c r="C562" s="74"/>
      <c r="D562" s="75"/>
      <c r="E562" s="75"/>
      <c r="F562" s="77"/>
      <c r="G562" s="75"/>
      <c r="H562" s="77"/>
      <c r="I562" s="101"/>
      <c r="J562" s="98"/>
    </row>
    <row r="563" spans="1:10" ht="12.75">
      <c r="A563" s="62"/>
      <c r="B563" s="94"/>
      <c r="C563" s="74"/>
      <c r="D563" s="75"/>
      <c r="E563" s="75"/>
      <c r="F563" s="77"/>
      <c r="G563" s="75"/>
      <c r="H563" s="77"/>
      <c r="I563" s="101"/>
      <c r="J563" s="98"/>
    </row>
    <row r="564" spans="1:10" ht="12.75">
      <c r="A564" s="62" t="s">
        <v>251</v>
      </c>
      <c r="B564" s="94"/>
      <c r="C564" s="74"/>
      <c r="D564" s="75"/>
      <c r="E564" s="75"/>
      <c r="F564" s="77"/>
      <c r="G564" s="75"/>
      <c r="H564" s="77"/>
      <c r="I564" s="101"/>
      <c r="J564" s="98">
        <f>SUM(J538:J563)</f>
        <v>1572226</v>
      </c>
    </row>
    <row r="565" spans="1:10" ht="12.75">
      <c r="A565" s="63"/>
      <c r="B565" s="94"/>
      <c r="C565" s="74"/>
      <c r="D565" s="75"/>
      <c r="E565" s="75"/>
      <c r="F565" s="77"/>
      <c r="G565" s="75"/>
      <c r="H565" s="77"/>
      <c r="I565" s="101"/>
      <c r="J565" s="98"/>
    </row>
    <row r="566" spans="1:10" ht="12.75">
      <c r="A566" s="63"/>
      <c r="B566" s="95"/>
      <c r="C566" s="88"/>
      <c r="D566" s="89"/>
      <c r="E566" s="89"/>
      <c r="F566" s="90"/>
      <c r="G566" s="89"/>
      <c r="H566" s="90"/>
      <c r="I566" s="102"/>
      <c r="J566" s="99"/>
    </row>
    <row r="567" spans="1:10" ht="12.75"/>
    <row r="568" spans="1:10" ht="12.75"/>
    <row r="569" spans="1:10" ht="12.75">
      <c r="A569" s="27" t="s">
        <v>223</v>
      </c>
      <c r="B569" s="27"/>
      <c r="C569" s="27"/>
      <c r="D569" s="27"/>
      <c r="E569" s="27"/>
      <c r="F569" s="27"/>
    </row>
    <row r="570" spans="1:10" ht="12.75">
      <c r="F570" s="36" t="s">
        <v>119</v>
      </c>
    </row>
    <row r="571" spans="1:10" ht="12.75"/>
    <row r="572" spans="1:10" ht="12.75">
      <c r="A572" s="62" t="s">
        <v>224</v>
      </c>
      <c r="B572" s="62" t="s">
        <v>1</v>
      </c>
      <c r="C572" s="62"/>
      <c r="D572" s="62"/>
      <c r="E572" s="62"/>
      <c r="F572" s="62"/>
      <c r="G572" s="63" t="s">
        <v>119</v>
      </c>
      <c r="H572" s="62" t="s">
        <v>225</v>
      </c>
      <c r="I572" s="64" t="s">
        <v>252</v>
      </c>
      <c r="J572" s="63"/>
    </row>
    <row r="573" spans="1:10" ht="12.75">
      <c r="A573" s="62" t="s">
        <v>227</v>
      </c>
      <c r="B573" s="65">
        <v>45981</v>
      </c>
      <c r="C573" s="62"/>
      <c r="D573" s="62"/>
      <c r="E573" s="62"/>
      <c r="F573" s="62"/>
      <c r="G573" s="63"/>
      <c r="H573" s="62" t="s">
        <v>228</v>
      </c>
      <c r="I573" s="66" t="s">
        <v>175</v>
      </c>
      <c r="J573" s="63"/>
    </row>
    <row r="574" spans="1:10" ht="12.75">
      <c r="A574" s="62"/>
      <c r="B574" s="62"/>
      <c r="C574" s="62"/>
      <c r="D574" s="62"/>
      <c r="E574" s="62"/>
      <c r="F574" s="62"/>
      <c r="G574" s="63"/>
      <c r="H574" s="63"/>
      <c r="I574" s="63"/>
      <c r="J574" s="63"/>
    </row>
    <row r="575" spans="1:10" ht="12.75">
      <c r="A575" s="62"/>
      <c r="B575" s="67" t="s">
        <v>229</v>
      </c>
      <c r="C575" s="67" t="s">
        <v>230</v>
      </c>
      <c r="D575" s="67" t="s">
        <v>231</v>
      </c>
      <c r="E575" s="67" t="s">
        <v>232</v>
      </c>
      <c r="F575" s="67" t="s">
        <v>233</v>
      </c>
      <c r="G575" s="67" t="s">
        <v>234</v>
      </c>
      <c r="H575" s="67" t="s">
        <v>235</v>
      </c>
      <c r="I575" s="67" t="s">
        <v>236</v>
      </c>
      <c r="J575" s="67" t="s">
        <v>235</v>
      </c>
    </row>
    <row r="576" spans="1:10" ht="12.75">
      <c r="A576" s="62"/>
      <c r="B576" s="68"/>
      <c r="C576" s="69"/>
      <c r="D576" s="70"/>
      <c r="E576" s="70"/>
      <c r="F576" s="71"/>
      <c r="G576" s="70"/>
      <c r="H576" s="71"/>
      <c r="I576" s="70"/>
      <c r="J576" s="72"/>
    </row>
    <row r="577" spans="1:11" ht="12.75">
      <c r="B577" s="93">
        <v>1</v>
      </c>
      <c r="C577" s="32" t="s">
        <v>237</v>
      </c>
      <c r="D577" s="75" t="s">
        <v>238</v>
      </c>
      <c r="E577" s="75"/>
      <c r="F577" s="76">
        <v>45981</v>
      </c>
      <c r="G577" s="75"/>
      <c r="H577" s="77"/>
      <c r="I577" s="101" t="s">
        <v>138</v>
      </c>
      <c r="J577" s="77">
        <v>786113</v>
      </c>
    </row>
    <row r="578" spans="1:11" ht="12.75">
      <c r="A578" s="62"/>
      <c r="B578" s="73"/>
      <c r="C578" s="74"/>
      <c r="D578" s="75"/>
      <c r="E578" s="75"/>
      <c r="F578" s="77"/>
      <c r="G578" s="75"/>
      <c r="H578" s="77"/>
      <c r="I578" s="75"/>
      <c r="J578" s="77"/>
    </row>
    <row r="579" spans="1:11" ht="12.75">
      <c r="B579" s="78"/>
      <c r="C579" s="79"/>
      <c r="D579" s="75"/>
      <c r="E579" s="75"/>
      <c r="F579" s="76"/>
      <c r="G579" s="75"/>
      <c r="H579" s="77"/>
      <c r="I579" s="75"/>
      <c r="J579" s="77"/>
    </row>
    <row r="580" spans="1:11" ht="12.75">
      <c r="B580" s="78"/>
      <c r="C580" s="31"/>
      <c r="D580" s="75"/>
      <c r="E580" s="75"/>
      <c r="F580" s="77"/>
      <c r="G580" s="75"/>
      <c r="H580" s="77"/>
      <c r="I580" s="75"/>
      <c r="J580" s="77"/>
    </row>
    <row r="581" spans="1:11" ht="12.75">
      <c r="A581" s="62"/>
      <c r="B581" s="78" t="s">
        <v>119</v>
      </c>
      <c r="C581" s="79" t="s">
        <v>119</v>
      </c>
      <c r="D581" s="75" t="s">
        <v>119</v>
      </c>
      <c r="E581" s="75" t="s">
        <v>119</v>
      </c>
      <c r="F581" s="76" t="s">
        <v>119</v>
      </c>
      <c r="G581" s="75" t="s">
        <v>119</v>
      </c>
      <c r="H581" s="77" t="s">
        <v>119</v>
      </c>
      <c r="I581" s="75" t="s">
        <v>119</v>
      </c>
      <c r="J581" s="77" t="s">
        <v>119</v>
      </c>
    </row>
    <row r="582" spans="1:11" ht="12.75">
      <c r="A582" s="62"/>
      <c r="B582" s="78"/>
      <c r="C582" s="31"/>
      <c r="D582" s="75"/>
      <c r="E582" s="75"/>
      <c r="F582" s="77"/>
      <c r="G582" s="75"/>
      <c r="H582" s="77"/>
      <c r="I582" s="75"/>
      <c r="J582" s="77"/>
    </row>
    <row r="583" spans="1:11" ht="12.75">
      <c r="A583" s="62"/>
      <c r="B583" s="80"/>
      <c r="C583" s="32"/>
      <c r="D583" s="75"/>
      <c r="E583" s="75"/>
      <c r="F583" s="76"/>
      <c r="G583" s="75"/>
      <c r="H583" s="77"/>
      <c r="I583" s="75"/>
      <c r="J583" s="77"/>
    </row>
    <row r="584" spans="1:11" ht="12.75">
      <c r="B584" s="73"/>
      <c r="C584" s="74"/>
      <c r="D584" s="75"/>
      <c r="E584" s="75"/>
      <c r="F584" s="77"/>
      <c r="G584" s="75"/>
      <c r="H584" s="77"/>
      <c r="I584" s="75"/>
      <c r="J584" s="77"/>
    </row>
    <row r="585" spans="1:11" ht="12.75">
      <c r="A585" s="62"/>
      <c r="B585" s="73"/>
      <c r="C585" s="74"/>
      <c r="D585" s="75"/>
      <c r="E585" s="75"/>
      <c r="F585" s="77"/>
      <c r="G585" s="75"/>
      <c r="H585" s="77"/>
      <c r="I585" s="75"/>
      <c r="J585" s="77"/>
    </row>
    <row r="586" spans="1:11" ht="12.75">
      <c r="A586" s="62"/>
      <c r="B586" s="73"/>
      <c r="C586" s="74"/>
      <c r="D586" s="75"/>
      <c r="E586" s="75"/>
      <c r="F586" s="77"/>
      <c r="G586" s="75"/>
      <c r="H586" s="77"/>
      <c r="I586" s="75"/>
      <c r="J586" s="77"/>
    </row>
    <row r="587" spans="1:11" ht="12.75">
      <c r="A587" s="62"/>
      <c r="B587" s="73"/>
      <c r="C587" s="74"/>
      <c r="D587" s="75"/>
      <c r="E587" s="75"/>
      <c r="F587" s="77"/>
      <c r="G587" s="75"/>
      <c r="H587" s="77"/>
      <c r="I587" s="75"/>
      <c r="J587" s="77"/>
    </row>
    <row r="588" spans="1:11" ht="12.75">
      <c r="A588" s="62"/>
      <c r="B588" s="73"/>
      <c r="C588" s="74"/>
      <c r="D588" s="75"/>
      <c r="E588" s="75"/>
      <c r="F588" s="77"/>
      <c r="G588" s="75"/>
      <c r="H588" s="77"/>
      <c r="I588" s="75"/>
      <c r="J588" s="77"/>
    </row>
    <row r="589" spans="1:11" ht="12.75">
      <c r="A589" s="62"/>
      <c r="B589" s="73"/>
      <c r="C589" s="74"/>
      <c r="D589" s="75"/>
      <c r="E589" s="75"/>
      <c r="F589" s="77"/>
      <c r="G589" s="75"/>
      <c r="H589" s="77"/>
      <c r="I589" s="75"/>
      <c r="J589" s="77"/>
    </row>
    <row r="590" spans="1:11" ht="12.75">
      <c r="A590" s="81"/>
      <c r="B590" s="82"/>
      <c r="C590" s="83"/>
      <c r="D590" s="84"/>
      <c r="E590" s="84"/>
      <c r="F590" s="85"/>
      <c r="G590" s="84"/>
      <c r="H590" s="85"/>
      <c r="I590" s="84"/>
      <c r="J590" s="85"/>
      <c r="K590" s="86"/>
    </row>
    <row r="591" spans="1:11" ht="12.75">
      <c r="A591" s="62"/>
      <c r="B591" s="73"/>
      <c r="C591" s="74"/>
      <c r="D591" s="75"/>
      <c r="E591" s="75"/>
      <c r="F591" s="77"/>
      <c r="G591" s="75"/>
      <c r="H591" s="77"/>
      <c r="I591" s="75"/>
      <c r="J591" s="77"/>
    </row>
    <row r="592" spans="1:11" ht="12.75">
      <c r="A592" s="62"/>
      <c r="B592" s="73"/>
      <c r="C592" s="74"/>
      <c r="D592" s="75"/>
      <c r="E592" s="75"/>
      <c r="F592" s="77"/>
      <c r="G592" s="75"/>
      <c r="H592" s="77"/>
      <c r="I592" s="75"/>
      <c r="J592" s="77"/>
    </row>
    <row r="593" spans="1:10" ht="12.75">
      <c r="A593" s="62"/>
      <c r="B593" s="73"/>
      <c r="C593" s="74"/>
      <c r="D593" s="75"/>
      <c r="E593" s="75"/>
      <c r="F593" s="77"/>
      <c r="G593" s="75"/>
      <c r="H593" s="77"/>
      <c r="I593" s="75"/>
      <c r="J593" s="77"/>
    </row>
    <row r="594" spans="1:10" ht="12.75">
      <c r="A594" s="62"/>
      <c r="B594" s="73"/>
      <c r="C594" s="74"/>
      <c r="D594" s="75"/>
      <c r="E594" s="75"/>
      <c r="F594" s="77"/>
      <c r="G594" s="75"/>
      <c r="H594" s="77"/>
      <c r="I594" s="75"/>
      <c r="J594" s="77"/>
    </row>
    <row r="595" spans="1:10" ht="12.75">
      <c r="A595" s="62"/>
      <c r="B595" s="73"/>
      <c r="C595" s="74"/>
      <c r="D595" s="75"/>
      <c r="E595" s="75"/>
      <c r="F595" s="77"/>
      <c r="G595" s="75"/>
      <c r="H595" s="77"/>
      <c r="I595" s="75"/>
      <c r="J595" s="77"/>
    </row>
    <row r="596" spans="1:10" ht="12.75">
      <c r="A596" s="62"/>
      <c r="B596" s="73"/>
      <c r="C596" s="74"/>
      <c r="D596" s="75"/>
      <c r="E596" s="75"/>
      <c r="F596" s="77"/>
      <c r="G596" s="75"/>
      <c r="H596" s="77"/>
      <c r="I596" s="75"/>
      <c r="J596" s="77"/>
    </row>
    <row r="597" spans="1:10" ht="12.75">
      <c r="A597" s="62"/>
      <c r="B597" s="73"/>
      <c r="C597" s="74"/>
      <c r="D597" s="75"/>
      <c r="E597" s="75"/>
      <c r="F597" s="77"/>
      <c r="G597" s="75"/>
      <c r="H597" s="77"/>
      <c r="I597" s="75"/>
      <c r="J597" s="77"/>
    </row>
    <row r="598" spans="1:10" ht="12.75">
      <c r="A598" s="62"/>
      <c r="B598" s="73"/>
      <c r="C598" s="74"/>
      <c r="D598" s="75"/>
      <c r="E598" s="75"/>
      <c r="F598" s="77"/>
      <c r="G598" s="75"/>
      <c r="H598" s="77"/>
      <c r="I598" s="75"/>
      <c r="J598" s="77"/>
    </row>
    <row r="599" spans="1:10" ht="12.75">
      <c r="A599" s="62"/>
      <c r="B599" s="73"/>
      <c r="C599" s="74"/>
      <c r="D599" s="75"/>
      <c r="E599" s="75"/>
      <c r="F599" s="77"/>
      <c r="G599" s="75"/>
      <c r="H599" s="77"/>
      <c r="I599" s="75"/>
      <c r="J599" s="77"/>
    </row>
    <row r="600" spans="1:10" ht="12.75">
      <c r="A600" s="62"/>
      <c r="B600" s="73"/>
      <c r="C600" s="74"/>
      <c r="D600" s="75"/>
      <c r="E600" s="75"/>
      <c r="F600" s="77"/>
      <c r="G600" s="75"/>
      <c r="H600" s="77"/>
      <c r="I600" s="75"/>
      <c r="J600" s="77"/>
    </row>
    <row r="601" spans="1:10" ht="12.75">
      <c r="A601" s="62"/>
      <c r="B601" s="73"/>
      <c r="C601" s="74"/>
      <c r="D601" s="75"/>
      <c r="E601" s="75"/>
      <c r="F601" s="77"/>
      <c r="G601" s="75"/>
      <c r="H601" s="77"/>
      <c r="I601" s="75"/>
      <c r="J601" s="77"/>
    </row>
    <row r="602" spans="1:10" ht="12.75">
      <c r="A602" s="62"/>
      <c r="B602" s="73"/>
      <c r="C602" s="74"/>
      <c r="D602" s="75"/>
      <c r="E602" s="75"/>
      <c r="F602" s="77"/>
      <c r="G602" s="75"/>
      <c r="H602" s="77"/>
      <c r="I602" s="75"/>
      <c r="J602" s="77"/>
    </row>
    <row r="603" spans="1:10" ht="12.75">
      <c r="A603" s="62"/>
      <c r="B603" s="73"/>
      <c r="C603" s="74"/>
      <c r="D603" s="75"/>
      <c r="E603" s="75"/>
      <c r="F603" s="77"/>
      <c r="G603" s="75"/>
      <c r="H603" s="77"/>
      <c r="I603" s="75"/>
      <c r="J603" s="77"/>
    </row>
    <row r="604" spans="1:10" ht="12.75">
      <c r="A604" s="62"/>
      <c r="B604" s="73"/>
      <c r="C604" s="74"/>
      <c r="D604" s="75"/>
      <c r="E604" s="75"/>
      <c r="F604" s="77"/>
      <c r="G604" s="75"/>
      <c r="H604" s="77"/>
      <c r="I604" s="75"/>
      <c r="J604" s="77"/>
    </row>
    <row r="605" spans="1:10" ht="12.75">
      <c r="A605" s="62"/>
      <c r="B605" s="73"/>
      <c r="C605" s="74"/>
      <c r="D605" s="75"/>
      <c r="E605" s="75"/>
      <c r="F605" s="77"/>
      <c r="G605" s="75"/>
      <c r="H605" s="77"/>
      <c r="I605" s="75"/>
      <c r="J605" s="77"/>
    </row>
    <row r="606" spans="1:10" ht="12.75">
      <c r="A606" s="62" t="s">
        <v>254</v>
      </c>
      <c r="B606" s="73"/>
      <c r="C606" s="74"/>
      <c r="D606" s="75"/>
      <c r="E606" s="75"/>
      <c r="F606" s="77"/>
      <c r="G606" s="75"/>
      <c r="H606" s="77"/>
      <c r="I606" s="75"/>
      <c r="J606" s="77">
        <f>SUM(J577:J604)</f>
        <v>786113</v>
      </c>
    </row>
    <row r="607" spans="1:10" ht="12.75">
      <c r="A607" s="63"/>
      <c r="B607" s="73"/>
      <c r="C607" s="74"/>
      <c r="D607" s="75"/>
      <c r="E607" s="75"/>
      <c r="F607" s="77"/>
      <c r="G607" s="75"/>
      <c r="H607" s="77"/>
      <c r="I607" s="75"/>
      <c r="J607" s="77"/>
    </row>
    <row r="608" spans="1:10" ht="12.75">
      <c r="A608" s="63"/>
      <c r="B608" s="87"/>
      <c r="C608" s="88"/>
      <c r="D608" s="89"/>
      <c r="E608" s="89"/>
      <c r="F608" s="90"/>
      <c r="G608" s="89"/>
      <c r="H608" s="90"/>
      <c r="I608" s="89"/>
      <c r="J608" s="90"/>
    </row>
    <row r="609" ht="12.75"/>
    <row r="610" ht="12.75"/>
    <row r="611" ht="12.75"/>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29C5F903C97B4CB8BC55B1A8F96C28" ma:contentTypeVersion="4" ma:contentTypeDescription="Create a new document." ma:contentTypeScope="" ma:versionID="c6d064780b9b78d9792fdfc4c6614be9">
  <xsd:schema xmlns:xsd="http://www.w3.org/2001/XMLSchema" xmlns:xs="http://www.w3.org/2001/XMLSchema" xmlns:p="http://schemas.microsoft.com/office/2006/metadata/properties" xmlns:ns2="e2ce32c9-f19e-4a70-a505-c74f564a5bd0" targetNamespace="http://schemas.microsoft.com/office/2006/metadata/properties" ma:root="true" ma:fieldsID="30f852b6e2d94c2e6a57c58d243d8085" ns2:_="">
    <xsd:import namespace="e2ce32c9-f19e-4a70-a505-c74f564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e32c9-f19e-4a70-a505-c74f564a5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9E642C-EB41-4232-B8C5-BBDB1DA5DA9E}"/>
</file>

<file path=customXml/itemProps2.xml><?xml version="1.0" encoding="utf-8"?>
<ds:datastoreItem xmlns:ds="http://schemas.openxmlformats.org/officeDocument/2006/customXml" ds:itemID="{CABFD02A-09F2-4C27-B422-81A818188584}"/>
</file>

<file path=customXml/itemProps3.xml><?xml version="1.0" encoding="utf-8"?>
<ds:datastoreItem xmlns:ds="http://schemas.openxmlformats.org/officeDocument/2006/customXml" ds:itemID="{4F2BED26-3430-45C2-9D6A-DED4B9A9AB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Reed</dc:creator>
  <cp:keywords/>
  <dc:description/>
  <cp:lastModifiedBy/>
  <cp:revision/>
  <dcterms:created xsi:type="dcterms:W3CDTF">2025-02-10T23:41:46Z</dcterms:created>
  <dcterms:modified xsi:type="dcterms:W3CDTF">2025-11-21T15:20:15Z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