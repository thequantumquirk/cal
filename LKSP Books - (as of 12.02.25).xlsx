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defaultThemeVersion="166925"/>
  <mc:AlternateContent xmlns:mc="http://schemas.openxmlformats.org/markup-compatibility/2006">
    <mc:Choice Requires="x15">
      <x15ac:absPath xmlns:x15ac="http://schemas.microsoft.com/office/spreadsheetml/2010/11/ac" url="https://useefficiency.sharepoint.com/sites/Efficiency/Shared Documents/Lake Superior/Daily Books/"/>
    </mc:Choice>
  </mc:AlternateContent>
  <xr:revisionPtr revIDLastSave="0" documentId="8_{A21227F2-6816-4FD7-A8F4-8D5587699E8C}" xr6:coauthVersionLast="47" xr6:coauthVersionMax="47" xr10:uidLastSave="{00000000-0000-0000-0000-000000000000}"/>
  <bookViews>
    <workbookView xWindow="4080" yWindow="500" windowWidth="24720" windowHeight="13920" firstSheet="5" activeTab="5" xr2:uid="{BB4E5BAE-73A9-41D5-9059-511AB264E6FF}"/>
  </bookViews>
  <sheets>
    <sheet name="Issuer" sheetId="1" r:id="rId1"/>
    <sheet name="Recordkeeping Book" sheetId="3" r:id="rId2"/>
    <sheet name="Restrictions" sheetId="7" r:id="rId3"/>
    <sheet name="Control Book" sheetId="4" r:id="rId4"/>
    <sheet name="Statements" sheetId="5" r:id="rId5"/>
    <sheet name="Transfer Journals" sheetId="6" r:id="rId6"/>
  </sheets>
  <definedNames>
    <definedName name="_Hlk196503205" localSheetId="2">Restrictions!#REF!</definedName>
    <definedName name="_xlnm.Print_Area" localSheetId="4">Statements!$A$1:$F$38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62" i="6" l="1"/>
  <c r="H1762" i="6"/>
  <c r="J1723" i="6"/>
  <c r="J1684" i="6"/>
  <c r="H1684" i="6"/>
  <c r="H59" i="4"/>
  <c r="H33" i="4"/>
  <c r="H17" i="4"/>
  <c r="K153" i="3"/>
  <c r="K92" i="3"/>
  <c r="K45" i="3"/>
  <c r="J1641" i="6"/>
  <c r="H1641" i="6"/>
  <c r="J1602" i="6"/>
  <c r="J1563" i="6"/>
  <c r="H1563" i="6"/>
  <c r="J1521" i="6"/>
  <c r="H1521" i="6"/>
  <c r="J1482" i="6"/>
  <c r="J1443" i="6"/>
  <c r="H1443" i="6"/>
  <c r="J1401" i="6"/>
  <c r="H1401" i="6"/>
  <c r="J1362" i="6"/>
  <c r="J1323" i="6"/>
  <c r="H1323" i="6"/>
  <c r="J1281" i="6"/>
  <c r="H1281" i="6"/>
  <c r="J1242" i="6"/>
  <c r="J1203" i="6"/>
  <c r="H1203" i="6"/>
  <c r="J1161" i="6"/>
  <c r="H1161" i="6"/>
  <c r="J1122" i="6"/>
  <c r="J1083" i="6"/>
  <c r="H1083" i="6"/>
  <c r="J1041" i="6"/>
  <c r="H1041" i="6"/>
  <c r="J1002" i="6"/>
  <c r="J963" i="6"/>
  <c r="H963" i="6"/>
  <c r="J921" i="6"/>
  <c r="H921" i="6"/>
  <c r="J882" i="6"/>
  <c r="J843" i="6"/>
  <c r="H843" i="6"/>
  <c r="J801" i="6"/>
  <c r="H801" i="6"/>
  <c r="J762" i="6"/>
  <c r="J723" i="6"/>
  <c r="H723" i="6"/>
  <c r="J681" i="6"/>
  <c r="H681" i="6"/>
  <c r="J642" i="6"/>
  <c r="J603" i="6"/>
  <c r="H603" i="6"/>
  <c r="J560" i="6"/>
  <c r="H560" i="6"/>
  <c r="J521" i="6"/>
  <c r="J482" i="6"/>
  <c r="H482" i="6"/>
  <c r="K155" i="3"/>
  <c r="J440" i="6"/>
  <c r="H440" i="6"/>
  <c r="J401" i="6"/>
  <c r="J362" i="6"/>
  <c r="H362" i="6"/>
  <c r="J319" i="6"/>
  <c r="H319" i="6"/>
  <c r="J280" i="6"/>
  <c r="J241" i="6"/>
  <c r="H241" i="6"/>
  <c r="K94" i="3"/>
  <c r="H198" i="6"/>
  <c r="J198" i="6"/>
  <c r="H120" i="6"/>
  <c r="J159" i="6"/>
  <c r="J120" i="6"/>
  <c r="H45" i="4"/>
  <c r="H46" i="4" s="1"/>
  <c r="H47" i="4" s="1"/>
  <c r="H48" i="4" s="1"/>
  <c r="H49" i="4" s="1"/>
  <c r="H50" i="4" s="1"/>
  <c r="H51" i="4" s="1"/>
  <c r="H52" i="4" s="1"/>
  <c r="H53" i="4" s="1"/>
  <c r="H54" i="4" s="1"/>
  <c r="H55" i="4" s="1"/>
  <c r="H56" i="4" s="1"/>
  <c r="H57" i="4" s="1"/>
  <c r="H58" i="4" s="1"/>
  <c r="H20" i="4"/>
  <c r="H21" i="4" s="1"/>
  <c r="H22" i="4" s="1"/>
  <c r="H23" i="4" s="1"/>
  <c r="H24" i="4" s="1"/>
  <c r="H25" i="4" s="1"/>
  <c r="H26" i="4" s="1"/>
  <c r="H27" i="4" s="1"/>
  <c r="H28" i="4" s="1"/>
  <c r="H29" i="4" s="1"/>
  <c r="H30" i="4" s="1"/>
  <c r="H31" i="4" s="1"/>
  <c r="H32" i="4" s="1"/>
  <c r="J77" i="6"/>
  <c r="J38" i="6"/>
  <c r="H3" i="4"/>
  <c r="H4" i="4" s="1"/>
  <c r="H5" i="4" s="1"/>
  <c r="H6" i="4" s="1"/>
  <c r="H7" i="4" s="1"/>
  <c r="H8" i="4" s="1"/>
  <c r="H9" i="4" s="1"/>
  <c r="H10" i="4" s="1"/>
  <c r="H11" i="4" s="1"/>
  <c r="H12" i="4" s="1"/>
  <c r="H13" i="4" s="1"/>
  <c r="H14" i="4" s="1"/>
  <c r="H15" i="4" s="1"/>
  <c r="H16" i="4" s="1"/>
  <c r="K47" i="3"/>
  <c r="K46" i="3"/>
  <c r="K49" i="3"/>
  <c r="K101" i="3"/>
  <c r="K100" i="3"/>
  <c r="K99" i="3"/>
  <c r="K98" i="3"/>
  <c r="K97" i="3"/>
  <c r="K96" i="3"/>
  <c r="K104" i="3" s="1"/>
  <c r="A49" i="1"/>
  <c r="A48" i="1"/>
  <c r="A47" i="1"/>
  <c r="A46" i="1"/>
  <c r="A45" i="1"/>
  <c r="C18" i="1"/>
</calcChain>
</file>

<file path=xl/sharedStrings.xml><?xml version="1.0" encoding="utf-8"?>
<sst xmlns="http://schemas.openxmlformats.org/spreadsheetml/2006/main" count="3475" uniqueCount="211">
  <si>
    <t>SPAC NAME:</t>
  </si>
  <si>
    <t>LAKE SUPERIOR ACQUISITION CORP.</t>
  </si>
  <si>
    <t>ADDRESS:</t>
  </si>
  <si>
    <t>521 FIFTH AVENUE 
17TH FLOOR 
NEW YORK, NY 10175</t>
  </si>
  <si>
    <t>10,000,000 UNITS BEING ISSUED, WITH ANOTHER 1,500,000 UNITS ISSUABLE AS A GREENSHOE.</t>
  </si>
  <si>
    <t>SEPARATION RATIO</t>
  </si>
  <si>
    <t>1 UNIT = 1 CLASS A SHARE AND 1/7 RIGHT, WITH 1 RIGHT EXERCISEABLE FOR 1 CLASS A SHARE</t>
  </si>
  <si>
    <t>200,000,000 CLASS A SHARES AND
10,000,000 CLASS B SHARES AUTHORIZED</t>
  </si>
  <si>
    <t>TELEPHONE:</t>
  </si>
  <si>
    <t xml:space="preserve">(646) 886-8892 </t>
  </si>
  <si>
    <t> </t>
  </si>
  <si>
    <t>TAX ID:</t>
  </si>
  <si>
    <t xml:space="preserve">NA </t>
  </si>
  <si>
    <t>SHARE INFORMATION:</t>
  </si>
  <si>
    <t>CLASS A ORDINARY - LKSP - G5354C107
CLASS B ORDINARY - PRIVATE
RIGHTS - LKSPR - G5354C115
UNITS - LKSPU - G5354C131</t>
  </si>
  <si>
    <t>INCORPORATION:</t>
  </si>
  <si>
    <t>BRITISH VIRGIN ISLANDS</t>
  </si>
  <si>
    <t>UNDERWRITER:</t>
  </si>
  <si>
    <t>COHEN &amp; COMPANY CAPITAL MARKETS, A DIVISION OF J.V.B. FINANCIAL GROUP LLC</t>
  </si>
  <si>
    <t>SECURITY TYPES BEING ISSUED:</t>
  </si>
  <si>
    <t>UNITS, CLASS A, CLASS B, RIGHTS</t>
  </si>
  <si>
    <t>FORM S-1:</t>
  </si>
  <si>
    <t>OBTAINED</t>
  </si>
  <si>
    <t>TIMEFRAME FOR SEPARATION:</t>
  </si>
  <si>
    <t>52 DAYS FROM PRICING DATE</t>
  </si>
  <si>
    <t>EXCHANGE:</t>
  </si>
  <si>
    <t>NASDAQ</t>
  </si>
  <si>
    <t>TIMEFRAME FOR BC:</t>
  </si>
  <si>
    <t>18 MONTHS FROM IPO</t>
  </si>
  <si>
    <t>U.S. COUNSEL:</t>
  </si>
  <si>
    <t>LOEB &amp; LOEB</t>
  </si>
  <si>
    <t xml:space="preserve">MITCHELL S. NUSSBAUM GIOVANNI CARUSO </t>
  </si>
  <si>
    <t>OFFSHORE COUNSEL:</t>
  </si>
  <si>
    <t>FORBES HARE</t>
  </si>
  <si>
    <t>JOSE SANTOS</t>
  </si>
  <si>
    <t>RIGHT IPO ISSUANCE:</t>
  </si>
  <si>
    <t>TBD</t>
  </si>
  <si>
    <t>CLASS B SHARE ISSUANCE:</t>
  </si>
  <si>
    <t>REDEMPTIONS:</t>
  </si>
  <si>
    <t xml:space="preserve">PAYABLE 2 BUSINESS DAYS PRIOR TO BC CLOSING. </t>
  </si>
  <si>
    <t> **</t>
  </si>
  <si>
    <t>WARRANT IPO ISSUANCE:</t>
  </si>
  <si>
    <t>N/A</t>
  </si>
  <si>
    <t>PAYABE TWO BUSINESS DAYS PRIOR TO BC</t>
  </si>
  <si>
    <t>REQUIRED DOCUMENTS</t>
  </si>
  <si>
    <t>STATUS</t>
  </si>
  <si>
    <t>COMMENTS</t>
  </si>
  <si>
    <t>INVESTMENT MANAGEMENT TRUST AGREEMENT</t>
  </si>
  <si>
    <t>INCUMBENCY CERTIFICATE</t>
  </si>
  <si>
    <t>TRANSFER AGENT / REGISTRAR AGREEMENT</t>
  </si>
  <si>
    <t>WARRANT AGREEMENT</t>
  </si>
  <si>
    <t>ESCROW AGREEMENT</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</si>
  <si>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</si>
  <si>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</si>
  <si>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</si>
  <si>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</si>
  <si>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</si>
  <si>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</si>
  <si>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</si>
  <si>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</si>
  <si>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</si>
  <si>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</si>
  <si>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</si>
  <si>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</si>
  <si>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COMPLETED</t>
  </si>
  <si>
    <t>NO HITS</t>
  </si>
  <si>
    <t>UNDERWRITER'S LETTER</t>
  </si>
  <si>
    <t>ISSUER'S LETTER OF INSTRUCTION</t>
  </si>
  <si>
    <t>OFFICER/DIRECTOR OFAC SEARCHES @ 95%</t>
  </si>
  <si>
    <t>RESULTS</t>
  </si>
  <si>
    <t>NULL</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</si>
  <si>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</si>
  <si>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</si>
  <si>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</si>
  <si>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</si>
  <si>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</si>
  <si>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</si>
  <si>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</si>
  <si>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</si>
  <si>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</si>
  <si>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</si>
  <si>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</si>
  <si>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</si>
  <si>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</si>
  <si>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</si>
  <si>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</si>
  <si>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</si>
  <si>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</si>
  <si>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</si>
  <si>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</si>
  <si>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</si>
  <si>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</si>
  <si>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</si>
  <si>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</si>
  <si>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</si>
  <si>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</si>
  <si>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</si>
  <si>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</si>
  <si>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</si>
  <si>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</si>
  <si>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</si>
  <si>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</si>
  <si>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</si>
  <si>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</si>
  <si>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</si>
  <si>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</si>
  <si>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Results</t>
  </si>
  <si>
    <t>Lake Superior Acquisition Corp Units</t>
  </si>
  <si>
    <t>LKSPU</t>
  </si>
  <si>
    <t>G5354C131</t>
  </si>
  <si>
    <t>Units</t>
  </si>
  <si>
    <t>IPO</t>
  </si>
  <si>
    <t xml:space="preserve">Credit  </t>
  </si>
  <si>
    <t xml:space="preserve"> </t>
  </si>
  <si>
    <t>Book Entry</t>
  </si>
  <si>
    <t>ACTIVE</t>
  </si>
  <si>
    <t>Cede &amp; Co.</t>
  </si>
  <si>
    <t>Depository</t>
  </si>
  <si>
    <t>55 Water Street</t>
  </si>
  <si>
    <t>New York</t>
  </si>
  <si>
    <t>NY</t>
  </si>
  <si>
    <t>USA</t>
  </si>
  <si>
    <t>13-2555119</t>
  </si>
  <si>
    <t>Certified</t>
  </si>
  <si>
    <t>Null</t>
  </si>
  <si>
    <t>DWAC Withdrawal</t>
  </si>
  <si>
    <t>Debit</t>
  </si>
  <si>
    <t>LKSP B</t>
  </si>
  <si>
    <t>Lake Superior Investments LLC</t>
  </si>
  <si>
    <t>Partnership</t>
  </si>
  <si>
    <t>c/o 521 Fifth Ave 17th Floor</t>
  </si>
  <si>
    <t>Cohen &amp; Company Capital Markets, a division of Cohen &amp; Company Securities LLC</t>
  </si>
  <si>
    <t>Broker / Dealer</t>
  </si>
  <si>
    <t>3 Columbus Circle , 24th Floor</t>
  </si>
  <si>
    <t>Total Units Outstanding</t>
  </si>
  <si>
    <t>Lake Superior Acquisition Corp Class A</t>
  </si>
  <si>
    <t>LKSP</t>
  </si>
  <si>
    <t>G5354C107</t>
  </si>
  <si>
    <t>Class A Ordinary Stock</t>
  </si>
  <si>
    <t>DWAC Deposit</t>
  </si>
  <si>
    <t>Credit</t>
  </si>
  <si>
    <t>Total Shares Outstanding</t>
  </si>
  <si>
    <t>Lake Superior Acquistion Corp Class B</t>
  </si>
  <si>
    <t>NA</t>
  </si>
  <si>
    <t>Class B Ordinary Stock</t>
  </si>
  <si>
    <t>LKSP A</t>
  </si>
  <si>
    <t>Edward Cong Wang</t>
  </si>
  <si>
    <t>Individual</t>
  </si>
  <si>
    <t>Ziqi Zhao</t>
  </si>
  <si>
    <t>Raymond J. Gibbs</t>
  </si>
  <si>
    <t>Manuel C. Menendez III</t>
  </si>
  <si>
    <t>Stephen Yas</t>
  </si>
  <si>
    <t>Lake Superior Acquisition Corp Rights</t>
  </si>
  <si>
    <t>LKSPR</t>
  </si>
  <si>
    <t>G5354C115</t>
  </si>
  <si>
    <t>Rights</t>
  </si>
  <si>
    <t>Total Rights Outstanding</t>
  </si>
  <si>
    <t>CODE</t>
  </si>
  <si>
    <t>LEGEND</t>
  </si>
  <si>
    <t>THE SHARES REPRESENTED BY THIS HAVE NOT BEEN REGISTERED UNDER THE SECURITIES ACT OF 1933, AS AMENDED OR ANY STATE SECURITIES LAWS, AND MAY NOT  BE OFFERED, SOLD, TRANSFERRED OR OTHERWISE DISPOSED OF UNLESS REGISTERED UNDER THE SECURITIES ACT OF 1933, AS AMENDED, AND ANY APPLICABLE STATE SECURITIES LAWS OR AN EXEMPTION FROM REGISTRATION IS AVAILABLE.  THESE SHARES MAY NOT BE SOLD EXCEPT IN COMPLIANCE WITH THAT AGREEMENT.
THE SECURITIES REPRESENTED BY THIS CERTIFICATE ARE SUBJECT TO TRANSFER RESTRICTIONS PURUANT TO A REGISTRATION RIGHTS AGREEMENT BETWEEN LAKE SUPERIOR ACQUISITION CORP AND THE OTHER PARTIES THERETO AND MAY ONLY BE OFFERED, SOLD, TRANSFERRED, PLEDGED OR OTHERWISE DISPOSED WHILE THE TRANSFER RESTRICTIONS ARE IN EFFECT PURSUANT TO THE TERMS SET FORTH IN THE REGISTRATION RIGHTS AGREEMENT.
THE SHARES EVIDENCE BY THIS CERTIFICATAE WILL BE ENTITLED TO REGISTRATION RIGHTS UNDER A REGISTRATION RIGHTS AGREEMENT TO BE EXECUTED BY LAKE SUPERIOR ACQUISTION CORP.</t>
  </si>
  <si>
    <t>THE SECURITIES REPRESENTED BY THIS CERTIFICATE HAVE NOT BEEN REGISTERED UNDER THE SECURITIES ACT OF 1933, AS AMENDED OR ANY STATE SECURITIES LAWS, AND MAY NOT BE OFFERED, SOLD, TRANSFERRED OR OTHERWISE DISPOSED OF UNLESS REGISTEED UNDER THE SECURITIES ACT OF 1933, AS AMENDED, AND ANY APPLICABLE STATE SECURITIES LAWS OR AN EXEMPTION FROM REGISTRATION IS AVAILABLE.  IN ADDITON, THE SECURITIES REPRESENTED BY THIS CERTIFICATE ARE SUBJECT TO CERTAIN TRANSFER RESTRICTIONS SET FORTH IN THE PRIVATE PLACEMENT UNITS PURCHASE AGREEMENT DATED AS OF OCTOBER 6, 2025, BETWEEN THE COMPANY AND LAKE SUPERIOR INVESTMENS LLC, THE PRIVATE PLACEMENT UNITS PURCHASE AGREEMENT DATED AS OF OCTOBER 6, 2025, BETWEEN THE COMPANY COHEN &amp; COMPANY CAPITAL MARKETS, AND THE RIGHTS AGREEMENT BETWEEN THE COMPANY AND EFFICIENCY, AS RIGHTS AGENT.
THE SECURITIES REPRESENTED BY THIS CERTIFICATE ARE SUBJECT TO TRANSFER RESTRICTIONS PURSUANT TO AN INSIDER LETTER BETWEEN LAKE SUPERIOR AQUISITION CORP. AND THE OTHER PARTIES THERETO AND MAY ONLY BE OFFERED, SOLD, TRANSFERRED, PLEDGED OR OTHERWISE DISPOSED WHILE THE TRANSFER RESTRICTIONS ARE IN EFFECT PURUSANT TO THE TERMS SET FORTH IN THE INSDIDER LETTER.
SECURITIES EVIDENCED BY THIS CERTIFICATE AND CLASS A ORDINARY SHARES OF THE COMPANY ISSUED UPON EXERCISE OF SUCH SECURITIES SHALL BE ENTITLED TO REGISTRATION RIGHTS UNDER A REGISTRATION RIGHTS AGREEMENT EXECUTED BY THE COMPANY DATED AS OF OCTOBER 6, 2025.</t>
  </si>
  <si>
    <t>Transaction Date</t>
  </si>
  <si>
    <t>Issued Security (#)</t>
  </si>
  <si>
    <t>Type of Issuance</t>
  </si>
  <si>
    <t>Total Outstanding Shares (#)</t>
  </si>
  <si>
    <t>Total Authorized Shares (#)</t>
  </si>
  <si>
    <t>Lake Superior Acquisition Corp</t>
  </si>
  <si>
    <t>Class A Ordinary</t>
  </si>
  <si>
    <t>Class B Ordinary</t>
  </si>
  <si>
    <t>Lake Superior Acquisition Corp.</t>
  </si>
  <si>
    <t>Shareholder Statement</t>
  </si>
  <si>
    <t>As of TBD</t>
  </si>
  <si>
    <t>TIN: Not Available</t>
  </si>
  <si>
    <t>Email:</t>
  </si>
  <si>
    <t xml:space="preserve">Account #: </t>
  </si>
  <si>
    <t>SECURITY TYPE</t>
  </si>
  <si>
    <t>Shares Outstanding</t>
  </si>
  <si>
    <t>Market Value</t>
  </si>
  <si>
    <t>Restrictions*</t>
  </si>
  <si>
    <t>Class B Ordinary Shares</t>
  </si>
  <si>
    <t xml:space="preserve">CUSIP: </t>
  </si>
  <si>
    <t>Recent Transactions</t>
  </si>
  <si>
    <t># of Shares</t>
  </si>
  <si>
    <t>Price Per Share</t>
  </si>
  <si>
    <t>CREDIT - IPO</t>
  </si>
  <si>
    <t>*Restrictions:</t>
  </si>
  <si>
    <t>If you have any questions, please do not hesistate to reach out to us at LKSP@useefficiency.com</t>
  </si>
  <si>
    <t>EFFICIENCY TRANSFER JOURNAL</t>
  </si>
  <si>
    <t>ISSUER:</t>
  </si>
  <si>
    <t>LAKE SUPERIOR ACQUISITION CORP</t>
  </si>
  <si>
    <t>UNITS</t>
  </si>
  <si>
    <t>Transaction Date:</t>
  </si>
  <si>
    <t>CUSIP:</t>
  </si>
  <si>
    <t>ACCOUNT #</t>
  </si>
  <si>
    <t>REGISTRATION</t>
  </si>
  <si>
    <t>CERTIFICATE #</t>
  </si>
  <si>
    <t>TICKET #</t>
  </si>
  <si>
    <t>DATE</t>
  </si>
  <si>
    <t>DEBIT</t>
  </si>
  <si>
    <t>SHARES</t>
  </si>
  <si>
    <t>CREDIT</t>
  </si>
  <si>
    <t>CEDE &amp; CO</t>
  </si>
  <si>
    <t>BOOK ENTRY</t>
  </si>
  <si>
    <t>TOTAL UNITS</t>
  </si>
  <si>
    <t>EFFICIENCY INC TRANSFER JOURNAL</t>
  </si>
  <si>
    <t>SECURITY TYPE:</t>
  </si>
  <si>
    <t>CLASS B ORDINARY SHARES</t>
  </si>
  <si>
    <t>TOTAL SHARES</t>
  </si>
  <si>
    <t>CLASS A ORDINARY SHARES</t>
  </si>
  <si>
    <t>Cede &amp; Co</t>
  </si>
  <si>
    <t>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</si>
</sst>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3" formatCode="_(* #,##0.00_);_(* \(#,##0.00\);_(* &quot;-&quot;??_);_(@_)"/>
    <numFmt numFmtId="164" formatCode="_(* #,##0_);_(* \(#,##0\);_(* &quot;-&quot;??_);_(@_)"/>
    <numFmt numFmtId="165" formatCode="mm/dd/yyyy"/>
  </numFmts>
  <fonts count="25">
    <font>
      <sz val="11"/>
      <color theme="1"/>
      <name val="Calibri"/>
      <family val="2"/>
      <scheme val="minor"/>
    </font>
    <font>
      <sz val="10"/>
      <color theme="1"/>
      <name val="Arial"/>
      <family val="2"/>
    </font>
    <font>
      <b/>
      <sz val="10"/>
      <color theme="1"/>
      <name val="Arial"/>
      <family val="2"/>
    </font>
    <font>
      <sz val="10"/>
      <color rgb="FF000000"/>
      <name val="Calibri"/>
      <family val="2"/>
      <scheme val="minor"/>
    </font>
    <font>
      <b/>
      <sz val="10"/>
      <color theme="1"/>
      <name val="Calibri"/>
      <family val="2"/>
      <scheme val="minor"/>
    </font>
    <font>
      <sz val="10"/>
      <color theme="1"/>
      <name val="Calibri"/>
      <family val="2"/>
      <scheme val="minor"/>
    </font>
    <font>
      <sz val="12"/>
      <color rgb="FF000000"/>
      <name val="Arial"/>
      <family val="2"/>
    </font>
    <font>
      <sz val="10"/>
      <color rgb="FF000000"/>
      <name val="Arial"/>
      <family val="2"/>
    </font>
    <font>
      <sz val="12"/>
      <color rgb="FF000000"/>
      <name val="Calibri"/>
      <family val="2"/>
      <scheme val="minor"/>
    </font>
    <font>
      <u/>
      <sz val="12"/>
      <color rgb="FF000000"/>
      <name val="Arial"/>
      <family val="2"/>
    </font>
    <font>
      <i/>
      <sz val="12"/>
      <color rgb="FF000000"/>
      <name val="Arial"/>
      <family val="2"/>
    </font>
    <font>
      <b/>
      <sz val="10"/>
      <color rgb="FF000000"/>
      <name val="Arial"/>
      <family val="2"/>
    </font>
    <font>
      <b/>
      <sz val="9"/>
      <color rgb="FF000000"/>
      <name val="Arial"/>
      <family val="2"/>
    </font>
    <font>
      <sz val="9"/>
      <color rgb="FF000000"/>
      <name val="Arial"/>
      <family val="2"/>
    </font>
    <font>
      <b/>
      <sz val="8"/>
      <color rgb="FF000000"/>
      <name val="Arial"/>
      <family val="2"/>
    </font>
    <font>
      <sz val="8"/>
      <color rgb="FF000000"/>
      <name val="Arial"/>
      <family val="2"/>
    </font>
    <font>
      <b/>
      <sz val="11"/>
      <color theme="1"/>
      <name val="Calibri"/>
      <family val="2"/>
      <scheme val="minor"/>
    </font>
    <font>
      <b/>
      <sz val="11"/>
      <color theme="1"/>
      <name val="Arial"/>
      <family val="2"/>
    </font>
    <font>
      <sz val="12"/>
      <color theme="1"/>
      <name val="Arial"/>
      <family val="2"/>
    </font>
    <font>
      <u/>
      <sz val="11"/>
      <color theme="10"/>
      <name val="Calibri"/>
      <family val="2"/>
      <scheme val="minor"/>
    </font>
    <font>
      <sz val="11"/>
      <color rgb="FF000000"/>
      <name val="Calibri"/>
      <family val="2"/>
    </font>
    <font>
      <sz val="12"/>
      <color rgb="FF000000"/>
      <name val="Times New Roman"/>
      <family val="1"/>
      <charset val="1"/>
    </font>
    <font>
      <sz val="10"/>
      <color theme="1"/>
      <name val="Arial"/>
    </font>
    <font>
      <sz val="12"/>
      <color theme="1"/>
      <name val="Times New Roman"/>
    </font>
    <font>
      <sz val="12"/>
      <color rgb="FF000000"/>
      <name val="Calibri"/>
      <family val="2"/>
    </font>
  </fonts>
  <fills count="7">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rgb="FF00B050"/>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4">
    <xf numFmtId="0" fontId="0" fillId="0" borderId="0"/>
    <xf numFmtId="0" fontId="3" fillId="0" borderId="0"/>
    <xf numFmtId="43" fontId="3" fillId="0" borderId="0" applyFont="0" applyFill="0" applyBorder="0" applyAlignment="0" applyProtection="0"/>
    <xf numFmtId="0" fontId="19" fillId="0" borderId="0" applyNumberFormat="0" applyFill="0" applyBorder="0" applyAlignment="0" applyProtection="0"/>
  </cellStyleXfs>
  <cellXfs count="122">
    <xf numFmtId="0" fontId="0" fillId="0" borderId="0" xfId="0"/>
    <xf numFmtId="0" fontId="1" fillId="0" borderId="0" xfId="0" applyFont="1"/>
    <xf numFmtId="0" fontId="2" fillId="0" borderId="0" xfId="0" applyFont="1"/>
    <xf numFmtId="0" fontId="1" fillId="0" borderId="1" xfId="0" applyFont="1" applyBorder="1"/>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xf numFmtId="0" fontId="4" fillId="0" borderId="0" xfId="1" applyFont="1" applyAlignment="1">
      <alignment horizontal="center"/>
    </xf>
    <xf numFmtId="0" fontId="3" fillId="0" borderId="0" xfId="1"/>
    <xf numFmtId="0" fontId="5" fillId="0" borderId="0" xfId="1" applyFont="1"/>
    <xf numFmtId="0" fontId="5" fillId="0" borderId="0" xfId="1" applyFont="1" applyAlignment="1">
      <alignment horizontal="center"/>
    </xf>
    <xf numFmtId="0" fontId="3" fillId="0" borderId="0" xfId="1" applyAlignment="1">
      <alignment horizontal="center"/>
    </xf>
    <xf numFmtId="3" fontId="5" fillId="0" borderId="0" xfId="1" applyNumberFormat="1" applyFont="1"/>
    <xf numFmtId="0" fontId="5" fillId="3" borderId="0" xfId="1" applyFont="1" applyFill="1"/>
    <xf numFmtId="0" fontId="5" fillId="3" borderId="0" xfId="1" applyFont="1" applyFill="1" applyAlignment="1">
      <alignment horizontal="center"/>
    </xf>
    <xf numFmtId="3" fontId="5" fillId="3" borderId="0" xfId="1" applyNumberFormat="1" applyFont="1" applyFill="1"/>
    <xf numFmtId="165" fontId="5" fillId="0" borderId="0" xfId="1" applyNumberFormat="1" applyFont="1"/>
    <xf numFmtId="0" fontId="2" fillId="0" borderId="0" xfId="1" applyFont="1" applyAlignment="1">
      <alignment horizontal="center"/>
    </xf>
    <xf numFmtId="0" fontId="7" fillId="0" borderId="0" xfId="1" applyFont="1"/>
    <xf numFmtId="0" fontId="1" fillId="0" borderId="0" xfId="1" applyFont="1"/>
    <xf numFmtId="0" fontId="1" fillId="0" borderId="0" xfId="1" applyFont="1" applyAlignment="1">
      <alignment horizontal="center"/>
    </xf>
    <xf numFmtId="14" fontId="1" fillId="0" borderId="0" xfId="1" applyNumberFormat="1" applyFont="1" applyAlignment="1">
      <alignment horizontal="center"/>
    </xf>
    <xf numFmtId="0" fontId="7" fillId="0" borderId="0" xfId="1" applyFont="1" applyAlignment="1">
      <alignment horizontal="center"/>
    </xf>
    <xf numFmtId="3" fontId="1" fillId="0" borderId="0" xfId="1" applyNumberFormat="1" applyFont="1"/>
    <xf numFmtId="3" fontId="7" fillId="0" borderId="0" xfId="1" applyNumberFormat="1" applyFont="1"/>
    <xf numFmtId="3" fontId="1" fillId="0" borderId="1" xfId="0" applyNumberFormat="1" applyFont="1" applyBorder="1" applyAlignment="1">
      <alignment wrapText="1"/>
    </xf>
    <xf numFmtId="0" fontId="6" fillId="0" borderId="0" xfId="1" applyFont="1" applyAlignment="1">
      <alignment vertical="center"/>
    </xf>
    <xf numFmtId="0" fontId="6" fillId="0" borderId="2" xfId="1" applyFont="1" applyBorder="1" applyAlignment="1">
      <alignment vertical="center" wrapText="1"/>
    </xf>
    <xf numFmtId="0" fontId="6" fillId="0" borderId="4" xfId="1" applyFont="1" applyBorder="1" applyAlignment="1">
      <alignment vertical="center" wrapText="1"/>
    </xf>
    <xf numFmtId="0" fontId="6" fillId="0" borderId="5" xfId="1" applyFont="1" applyBorder="1" applyAlignment="1">
      <alignment vertical="center" wrapText="1"/>
    </xf>
    <xf numFmtId="0" fontId="6" fillId="0" borderId="0" xfId="1" applyFont="1"/>
    <xf numFmtId="0" fontId="8" fillId="0" borderId="0" xfId="1" applyFont="1"/>
    <xf numFmtId="0" fontId="6" fillId="0" borderId="0" xfId="1" applyFont="1" applyAlignment="1">
      <alignment horizontal="left" vertical="center"/>
    </xf>
    <xf numFmtId="0" fontId="9" fillId="0" borderId="0" xfId="1" applyFont="1" applyAlignment="1">
      <alignment vertical="center"/>
    </xf>
    <xf numFmtId="0" fontId="6" fillId="0" borderId="2" xfId="1" applyFont="1" applyBorder="1" applyAlignment="1">
      <alignment horizontal="center" vertical="center" wrapText="1"/>
    </xf>
    <xf numFmtId="15" fontId="6" fillId="0" borderId="2" xfId="1" applyNumberFormat="1" applyFont="1" applyBorder="1" applyAlignment="1">
      <alignment horizontal="center" vertical="center" wrapText="1"/>
    </xf>
    <xf numFmtId="3" fontId="6" fillId="0" borderId="2" xfId="1" applyNumberFormat="1" applyFont="1" applyBorder="1" applyAlignment="1">
      <alignment horizontal="center" vertical="center" wrapText="1"/>
    </xf>
    <xf numFmtId="8" fontId="6" fillId="0" borderId="2" xfId="1" applyNumberFormat="1" applyFont="1" applyBorder="1" applyAlignment="1">
      <alignment horizontal="center" vertical="center" wrapText="1"/>
    </xf>
    <xf numFmtId="0" fontId="6" fillId="0" borderId="0" xfId="1" applyFont="1" applyAlignment="1">
      <alignment horizontal="centerContinuous" vertical="center"/>
    </xf>
    <xf numFmtId="0" fontId="10" fillId="0" borderId="0" xfId="1" applyFont="1" applyAlignment="1">
      <alignment horizontal="centerContinuous" vertical="center"/>
    </xf>
    <xf numFmtId="0" fontId="6" fillId="0" borderId="9" xfId="1" applyFont="1" applyBorder="1"/>
    <xf numFmtId="0" fontId="11" fillId="0" borderId="0" xfId="1" applyFont="1"/>
    <xf numFmtId="0" fontId="12" fillId="0" borderId="0" xfId="1" applyFont="1"/>
    <xf numFmtId="0" fontId="13" fillId="0" borderId="0" xfId="1" applyFont="1"/>
    <xf numFmtId="0" fontId="12" fillId="0" borderId="0" xfId="1" applyFont="1" applyAlignment="1">
      <alignment horizontal="center"/>
    </xf>
    <xf numFmtId="0" fontId="12" fillId="0" borderId="6" xfId="1" applyFont="1" applyBorder="1" applyAlignment="1">
      <alignment horizontal="center"/>
    </xf>
    <xf numFmtId="164" fontId="12" fillId="0" borderId="6" xfId="2" applyNumberFormat="1" applyFont="1" applyBorder="1" applyAlignment="1">
      <alignment horizontal="center"/>
    </xf>
    <xf numFmtId="164" fontId="13" fillId="0" borderId="6" xfId="2" applyNumberFormat="1" applyFont="1" applyBorder="1"/>
    <xf numFmtId="0" fontId="13" fillId="0" borderId="7" xfId="1" applyFont="1" applyBorder="1"/>
    <xf numFmtId="164" fontId="13" fillId="0" borderId="7" xfId="2" applyNumberFormat="1" applyFont="1" applyBorder="1"/>
    <xf numFmtId="0" fontId="14" fillId="0" borderId="0" xfId="1" applyFont="1"/>
    <xf numFmtId="0" fontId="15" fillId="0" borderId="7" xfId="1" applyFont="1" applyBorder="1"/>
    <xf numFmtId="164" fontId="15" fillId="0" borderId="7" xfId="2" applyNumberFormat="1" applyFont="1" applyBorder="1"/>
    <xf numFmtId="0" fontId="15" fillId="0" borderId="0" xfId="1" applyFont="1"/>
    <xf numFmtId="0" fontId="13" fillId="0" borderId="8" xfId="1" applyFont="1" applyBorder="1"/>
    <xf numFmtId="164" fontId="13" fillId="0" borderId="8" xfId="2" applyNumberFormat="1" applyFont="1" applyBorder="1"/>
    <xf numFmtId="0" fontId="16" fillId="0" borderId="0" xfId="0" applyFont="1"/>
    <xf numFmtId="0" fontId="1" fillId="0" borderId="0" xfId="1" applyFont="1" applyAlignment="1">
      <alignment wrapText="1"/>
    </xf>
    <xf numFmtId="0" fontId="1" fillId="0" borderId="0" xfId="1" quotePrefix="1" applyFont="1"/>
    <xf numFmtId="0" fontId="1" fillId="0" borderId="0" xfId="1" applyFont="1" applyAlignment="1">
      <alignment horizontal="left"/>
    </xf>
    <xf numFmtId="0" fontId="7" fillId="0" borderId="0" xfId="1" applyFont="1" applyAlignment="1">
      <alignment horizontal="left"/>
    </xf>
    <xf numFmtId="0" fontId="1" fillId="2" borderId="0" xfId="1" applyFont="1" applyFill="1" applyAlignment="1">
      <alignment horizontal="center"/>
    </xf>
    <xf numFmtId="3" fontId="1" fillId="2" borderId="0" xfId="1" applyNumberFormat="1" applyFont="1" applyFill="1"/>
    <xf numFmtId="0" fontId="18" fillId="0" borderId="1" xfId="0" applyFont="1" applyBorder="1" applyAlignment="1">
      <alignment horizontal="centerContinuous" vertical="center" wrapText="1"/>
    </xf>
    <xf numFmtId="0" fontId="6" fillId="0" borderId="1" xfId="1" applyFont="1" applyBorder="1" applyAlignment="1">
      <alignment horizontal="centerContinuous" vertical="center"/>
    </xf>
    <xf numFmtId="0" fontId="17" fillId="0" borderId="1" xfId="0" applyFont="1" applyBorder="1" applyAlignment="1">
      <alignment horizontal="center" vertical="center"/>
    </xf>
    <xf numFmtId="0" fontId="19" fillId="0" borderId="0" xfId="3"/>
    <xf numFmtId="0" fontId="6" fillId="0" borderId="1" xfId="1" applyFont="1" applyBorder="1" applyAlignment="1">
      <alignment vertical="center"/>
    </xf>
    <xf numFmtId="14" fontId="7" fillId="0" borderId="0" xfId="1" applyNumberFormat="1" applyFont="1"/>
    <xf numFmtId="14" fontId="13" fillId="0" borderId="0" xfId="1" applyNumberFormat="1" applyFont="1"/>
    <xf numFmtId="0" fontId="20" fillId="0" borderId="1" xfId="0" applyFont="1" applyBorder="1"/>
    <xf numFmtId="0" fontId="20" fillId="0" borderId="10" xfId="0" applyFont="1" applyBorder="1" applyAlignment="1">
      <alignment wrapText="1"/>
    </xf>
    <xf numFmtId="0" fontId="20" fillId="0" borderId="11" xfId="0" applyFont="1" applyBorder="1"/>
    <xf numFmtId="0" fontId="20" fillId="0" borderId="12" xfId="0" applyFont="1" applyBorder="1" applyAlignment="1">
      <alignment wrapText="1"/>
    </xf>
    <xf numFmtId="0" fontId="20" fillId="0" borderId="12" xfId="0" applyFont="1" applyBorder="1"/>
    <xf numFmtId="0" fontId="1" fillId="4" borderId="1" xfId="0" applyFont="1" applyFill="1" applyBorder="1"/>
    <xf numFmtId="0" fontId="0" fillId="0" borderId="3" xfId="0" applyBorder="1" applyAlignment="1">
      <alignment vertical="center"/>
    </xf>
    <xf numFmtId="3" fontId="3" fillId="0" borderId="0" xfId="1" applyNumberFormat="1"/>
    <xf numFmtId="0" fontId="3" fillId="0" borderId="0" xfId="1" applyAlignment="1">
      <alignment horizontal="center" vertical="center" wrapText="1"/>
    </xf>
    <xf numFmtId="0" fontId="12" fillId="0" borderId="3" xfId="1" applyFont="1" applyBorder="1" applyAlignment="1">
      <alignment horizontal="center"/>
    </xf>
    <xf numFmtId="0" fontId="13" fillId="0" borderId="4" xfId="1" applyFont="1" applyBorder="1"/>
    <xf numFmtId="0" fontId="1" fillId="0" borderId="4" xfId="1" applyFont="1" applyBorder="1"/>
    <xf numFmtId="0" fontId="7" fillId="0" borderId="4" xfId="1" applyFont="1" applyBorder="1"/>
    <xf numFmtId="0" fontId="15" fillId="0" borderId="4" xfId="1" applyFont="1" applyBorder="1"/>
    <xf numFmtId="0" fontId="13" fillId="0" borderId="5" xfId="1" applyFont="1" applyBorder="1"/>
    <xf numFmtId="164" fontId="12" fillId="0" borderId="13" xfId="2" applyNumberFormat="1" applyFont="1" applyBorder="1" applyAlignment="1">
      <alignment horizontal="center"/>
    </xf>
    <xf numFmtId="164" fontId="13" fillId="0" borderId="14" xfId="2" applyNumberFormat="1" applyFont="1" applyBorder="1"/>
    <xf numFmtId="164" fontId="15" fillId="0" borderId="14" xfId="2" applyNumberFormat="1" applyFont="1" applyBorder="1"/>
    <xf numFmtId="164" fontId="13" fillId="0" borderId="15" xfId="2" applyNumberFormat="1" applyFont="1" applyBorder="1"/>
    <xf numFmtId="14" fontId="12" fillId="0" borderId="0" xfId="1" applyNumberFormat="1" applyFont="1"/>
    <xf numFmtId="0" fontId="12" fillId="0" borderId="0" xfId="1" applyFont="1" applyAlignment="1">
      <alignment horizontal="left"/>
    </xf>
    <xf numFmtId="0" fontId="2" fillId="0" borderId="0" xfId="1" applyFont="1" applyAlignment="1">
      <alignment horizontal="left"/>
    </xf>
    <xf numFmtId="15" fontId="20" fillId="0" borderId="12" xfId="0" applyNumberFormat="1" applyFont="1" applyBorder="1"/>
    <xf numFmtId="0" fontId="11" fillId="0" borderId="0" xfId="1" applyFont="1" applyAlignment="1">
      <alignment horizontal="center"/>
    </xf>
    <xf numFmtId="0" fontId="7" fillId="5" borderId="0" xfId="1" applyFont="1" applyFill="1"/>
    <xf numFmtId="0" fontId="22" fillId="0" borderId="1" xfId="0" applyFont="1" applyBorder="1"/>
    <xf numFmtId="0" fontId="1" fillId="6" borderId="0" xfId="1" applyFont="1" applyFill="1"/>
    <xf numFmtId="0" fontId="1" fillId="6" borderId="0" xfId="1" applyFont="1" applyFill="1" applyAlignment="1">
      <alignment horizontal="center"/>
    </xf>
    <xf numFmtId="14" fontId="1" fillId="6" borderId="0" xfId="1" applyNumberFormat="1" applyFont="1" applyFill="1" applyAlignment="1">
      <alignment horizontal="center"/>
    </xf>
    <xf numFmtId="0" fontId="7" fillId="6" borderId="0" xfId="1" applyFont="1" applyFill="1" applyAlignment="1">
      <alignment horizontal="center"/>
    </xf>
    <xf numFmtId="3" fontId="1" fillId="6" borderId="0" xfId="1" applyNumberFormat="1" applyFont="1" applyFill="1"/>
    <xf numFmtId="0" fontId="7" fillId="6" borderId="0" xfId="1" applyFont="1" applyFill="1"/>
    <xf numFmtId="0" fontId="7" fillId="6" borderId="0" xfId="1" applyFont="1" applyFill="1" applyAlignment="1">
      <alignment horizontal="left"/>
    </xf>
    <xf numFmtId="0" fontId="21" fillId="0" borderId="3" xfId="0" applyFont="1" applyBorder="1" applyAlignment="1">
      <alignment vertical="top" wrapText="1"/>
    </xf>
    <xf numFmtId="0" fontId="1" fillId="0" borderId="0" xfId="1" applyFont="1" applyAlignment="1">
      <alignment horizontal="left" wrapText="1"/>
    </xf>
    <xf numFmtId="0" fontId="0" fillId="0" borderId="2" xfId="0" applyBorder="1"/>
    <xf numFmtId="0" fontId="23" fillId="0" borderId="2" xfId="0" applyFont="1" applyBorder="1" applyAlignment="1">
      <alignment wrapText="1"/>
    </xf>
    <xf numFmtId="14" fontId="7" fillId="0" borderId="0" xfId="1" applyNumberFormat="1" applyFont="1" applyAlignment="1">
      <alignment horizontal="center"/>
    </xf>
    <xf numFmtId="164" fontId="24" fillId="0" borderId="0" xfId="0" applyNumberFormat="1" applyFont="1"/>
    <xf numFmtId="164" fontId="7" fillId="0" borderId="0" xfId="1" applyNumberFormat="1" applyFont="1"/>
    <xf numFmtId="164" fontId="5" fillId="0" borderId="0" xfId="1" applyNumberFormat="1" applyFont="1"/>
    <xf numFmtId="14" fontId="3" fillId="0" borderId="0" xfId="1" applyNumberFormat="1"/>
    <xf numFmtId="164" fontId="3" fillId="0" borderId="0" xfId="1" applyNumberFormat="1"/>
    <xf numFmtId="3" fontId="6" fillId="0" borderId="3" xfId="1" applyNumberFormat="1" applyFont="1" applyBorder="1" applyAlignment="1">
      <alignment horizontal="center" vertical="center" wrapText="1"/>
    </xf>
    <xf numFmtId="3" fontId="6" fillId="0" borderId="4" xfId="1" applyNumberFormat="1" applyFont="1" applyBorder="1" applyAlignment="1">
      <alignment horizontal="center" vertical="center" wrapText="1"/>
    </xf>
    <xf numFmtId="3" fontId="6" fillId="0" borderId="5" xfId="1" applyNumberFormat="1" applyFont="1" applyBorder="1" applyAlignment="1">
      <alignment horizontal="center" vertical="center" wrapText="1"/>
    </xf>
    <xf numFmtId="8" fontId="6" fillId="0" borderId="3" xfId="1" applyNumberFormat="1" applyFont="1" applyBorder="1" applyAlignment="1">
      <alignment horizontal="center" vertical="center" wrapText="1"/>
    </xf>
    <xf numFmtId="8" fontId="6" fillId="0" borderId="4" xfId="1" applyNumberFormat="1" applyFont="1" applyBorder="1" applyAlignment="1">
      <alignment horizontal="center" vertical="center" wrapText="1"/>
    </xf>
    <xf numFmtId="8" fontId="6" fillId="0" borderId="5" xfId="1" applyNumberFormat="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center" vertical="center" wrapText="1"/>
    </xf>
    <xf numFmtId="0" fontId="6" fillId="0" borderId="5" xfId="1" applyFont="1" applyBorder="1" applyAlignment="1">
      <alignment horizontal="center" vertical="center" wrapText="1"/>
    </xf>
  </cellXfs>
  <cellStyles count="4">
    <cellStyle name="Comma 2" xfId="2" xr:uid="{EA0346A2-A1C9-784C-BDD8-9BB341C979EB}"/>
    <cellStyle name="Hyperlink" xfId="3" builtinId="8"/>
    <cellStyle name="Normal" xfId="0" builtinId="0"/>
    <cellStyle name="Normal 2" xfId="1" xr:uid="{626FD237-C924-894E-BEB8-0B02A8096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1914525</xdr:colOff>
      <xdr:row>33</xdr:row>
      <xdr:rowOff>66675</xdr:rowOff>
    </xdr:from>
    <xdr:to>
      <xdr:col>3</xdr:col>
      <xdr:colOff>1000125</xdr:colOff>
      <xdr:row>36</xdr:row>
      <xdr:rowOff>76200</xdr:rowOff>
    </xdr:to>
    <xdr:pic>
      <xdr:nvPicPr>
        <xdr:cNvPr id="3" name="Picture 2">
          <a:extLst>
            <a:ext uri="{FF2B5EF4-FFF2-40B4-BE49-F238E27FC236}">
              <a16:creationId xmlns:a16="http://schemas.microsoft.com/office/drawing/2014/main" id="{F0A3BA24-699F-4A93-6991-838B2F217D93}"/>
            </a:ext>
          </a:extLst>
        </xdr:cNvPr>
        <xdr:cNvPicPr>
          <a:picLocks noChangeAspect="1"/>
        </xdr:cNvPicPr>
      </xdr:nvPicPr>
      <xdr:blipFill>
        <a:blip xmlns:r="http://schemas.openxmlformats.org/officeDocument/2006/relationships" r:embed="rId1"/>
        <a:stretch>
          <a:fillRect/>
        </a:stretch>
      </xdr:blipFill>
      <xdr:spPr>
        <a:xfrm>
          <a:off x="4714875" y="6715125"/>
          <a:ext cx="2143125" cy="609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BF52-C53C-4E75-A039-E4ED9CB23D24}">
  <dimension ref="A1:D56"/>
  <sheetViews>
    <sheetView zoomScale="120" zoomScaleNormal="120" workbookViewId="0">
      <selection activeCell="B8" sqref="B8"/>
    </sheetView>
  </sheetViews>
  <sheetFormatPr defaultColWidth="8.85546875" defaultRowHeight="15"/>
  <cols>
    <col min="1" max="1" width="44.42578125" customWidth="1"/>
    <col min="2" max="2" width="47" customWidth="1"/>
    <col min="3" max="3" width="40.85546875" customWidth="1"/>
  </cols>
  <sheetData>
    <row r="1" spans="1:4">
      <c r="A1" s="1" t="s">
        <v>0</v>
      </c>
      <c r="B1" s="2" t="s">
        <v>1</v>
      </c>
      <c r="C1" s="1"/>
      <c r="D1" s="1"/>
    </row>
    <row r="2" spans="1:4">
      <c r="A2" s="1"/>
      <c r="B2" s="1"/>
      <c r="C2" s="1"/>
      <c r="D2" s="1"/>
    </row>
    <row r="3" spans="1:4" ht="54" customHeight="1">
      <c r="A3" s="70" t="s">
        <v>2</v>
      </c>
      <c r="B3" s="71" t="s">
        <v>3</v>
      </c>
      <c r="C3" s="71" t="s">
        <v>4</v>
      </c>
      <c r="D3" s="1"/>
    </row>
    <row r="4" spans="1:4" ht="30.75">
      <c r="A4" s="72" t="s">
        <v>5</v>
      </c>
      <c r="B4" s="73" t="s">
        <v>6</v>
      </c>
      <c r="C4" s="73" t="s">
        <v>7</v>
      </c>
      <c r="D4" s="1"/>
    </row>
    <row r="5" spans="1:4">
      <c r="A5" s="72" t="s">
        <v>8</v>
      </c>
      <c r="B5" s="74" t="s">
        <v>9</v>
      </c>
      <c r="C5" s="74" t="s">
        <v>10</v>
      </c>
      <c r="D5" s="1"/>
    </row>
    <row r="6" spans="1:4">
      <c r="A6" s="72" t="s">
        <v>11</v>
      </c>
      <c r="B6" s="74" t="s">
        <v>12</v>
      </c>
      <c r="C6" s="74" t="s">
        <v>10</v>
      </c>
      <c r="D6" s="1"/>
    </row>
    <row r="7" spans="1:4" ht="60.75">
      <c r="A7" s="72" t="s">
        <v>13</v>
      </c>
      <c r="B7" s="73" t="s">
        <v>14</v>
      </c>
      <c r="C7" s="74" t="s">
        <v>10</v>
      </c>
      <c r="D7" s="1"/>
    </row>
    <row r="8" spans="1:4">
      <c r="A8" s="72" t="s">
        <v>15</v>
      </c>
      <c r="B8" s="74" t="s">
        <v>16</v>
      </c>
      <c r="C8" s="74" t="s">
        <v>10</v>
      </c>
      <c r="D8" s="1"/>
    </row>
    <row r="9" spans="1:4" ht="32.1">
      <c r="A9" s="72" t="s">
        <v>17</v>
      </c>
      <c r="B9" s="73" t="s">
        <v>18</v>
      </c>
      <c r="C9" s="74" t="s">
        <v>10</v>
      </c>
      <c r="D9" s="1"/>
    </row>
    <row r="10" spans="1:4">
      <c r="A10" s="72" t="s">
        <v>19</v>
      </c>
      <c r="B10" s="74" t="s">
        <v>20</v>
      </c>
      <c r="C10" s="74" t="s">
        <v>10</v>
      </c>
      <c r="D10" s="1"/>
    </row>
    <row r="11" spans="1:4">
      <c r="A11" s="72" t="s">
        <v>21</v>
      </c>
      <c r="B11" s="74" t="s">
        <v>22</v>
      </c>
      <c r="C11" s="74" t="s">
        <v>10</v>
      </c>
      <c r="D11" s="1"/>
    </row>
    <row r="12" spans="1:4">
      <c r="A12" s="72" t="s">
        <v>23</v>
      </c>
      <c r="B12" s="74" t="s">
        <v>24</v>
      </c>
      <c r="C12" s="92"/>
      <c r="D12" s="1"/>
    </row>
    <row r="13" spans="1:4">
      <c r="A13" s="72" t="s">
        <v>25</v>
      </c>
      <c r="B13" s="74" t="s">
        <v>26</v>
      </c>
      <c r="C13" s="74"/>
      <c r="D13" s="1"/>
    </row>
    <row r="14" spans="1:4">
      <c r="A14" s="72" t="s">
        <v>27</v>
      </c>
      <c r="B14" s="74" t="s">
        <v>28</v>
      </c>
      <c r="C14" s="74"/>
      <c r="D14" s="1"/>
    </row>
    <row r="15" spans="1:4">
      <c r="A15" s="72" t="s">
        <v>29</v>
      </c>
      <c r="B15" s="74" t="s">
        <v>30</v>
      </c>
      <c r="C15" s="74" t="s">
        <v>31</v>
      </c>
      <c r="D15" s="1"/>
    </row>
    <row r="16" spans="1:4">
      <c r="A16" s="72" t="s">
        <v>32</v>
      </c>
      <c r="B16" s="74" t="s">
        <v>33</v>
      </c>
      <c r="C16" s="74" t="s">
        <v>34</v>
      </c>
      <c r="D16" s="1"/>
    </row>
    <row r="17" spans="1:4" ht="15.95">
      <c r="A17" s="72" t="s">
        <v>35</v>
      </c>
      <c r="B17" s="73" t="s">
        <v>36</v>
      </c>
      <c r="C17" s="74" t="s">
        <v>10</v>
      </c>
      <c r="D17" s="1"/>
    </row>
    <row r="18" spans="1:4" ht="15.95">
      <c r="A18" s="72" t="s">
        <v>37</v>
      </c>
      <c r="B18" s="73" t="s">
        <v>36</v>
      </c>
      <c r="C18" s="74" t="str">
        <f>UPPER(C17)</f>
        <v> </v>
      </c>
      <c r="D18" s="1"/>
    </row>
    <row r="19" spans="1:4" ht="15.95">
      <c r="A19" s="72" t="s">
        <v>38</v>
      </c>
      <c r="B19" s="73" t="s">
        <v>39</v>
      </c>
      <c r="C19" s="74" t="s">
        <v>40</v>
      </c>
      <c r="D19" s="1"/>
    </row>
    <row r="20" spans="1:4">
      <c r="A20" s="3" t="s">
        <v>41</v>
      </c>
      <c r="B20" s="25" t="s">
        <v>42</v>
      </c>
      <c r="C20" s="3"/>
      <c r="D20" s="1"/>
    </row>
    <row r="21" spans="1:4">
      <c r="A21" s="3" t="s">
        <v>38</v>
      </c>
      <c r="B21" s="4" t="s">
        <v>43</v>
      </c>
      <c r="C21" s="3"/>
      <c r="D21" s="1"/>
    </row>
    <row r="22" spans="1:4">
      <c r="A22" s="1"/>
      <c r="B22" s="1"/>
      <c r="C22" s="1"/>
      <c r="D22" s="1"/>
    </row>
    <row r="23" spans="1:4">
      <c r="A23" s="5" t="s">
        <v>44</v>
      </c>
      <c r="B23" s="6" t="s">
        <v>45</v>
      </c>
      <c r="C23" s="5" t="s">
        <v>46</v>
      </c>
      <c r="D23" s="1"/>
    </row>
    <row r="24" spans="1:4">
      <c r="A24" s="4" t="s">
        <v>47</v>
      </c>
      <c r="B24" s="3"/>
      <c r="C24" s="3"/>
      <c r="D24" s="1"/>
    </row>
    <row r="25" spans="1:4">
      <c r="A25" s="3" t="s">
        <v>48</v>
      </c>
      <c r="B25" s="3"/>
      <c r="C25" s="3"/>
      <c r="D25" s="1"/>
    </row>
    <row r="26" spans="1:4">
      <c r="A26" s="3" t="s">
        <v>49</v>
      </c>
      <c r="B26" s="3"/>
      <c r="C26" s="3"/>
      <c r="D26" s="1"/>
    </row>
    <row r="27" spans="1:4">
      <c r="A27" s="3" t="s">
        <v>50</v>
      </c>
      <c r="B27" s="3"/>
      <c r="C27" s="3"/>
      <c r="D27" s="1"/>
    </row>
    <row r="28" spans="1:4">
      <c r="A28" s="3" t="s">
        <v>51</v>
      </c>
      <c r="B28" s="3"/>
      <c r="C28" s="3"/>
      <c r="D28" s="1"/>
    </row>
    <row r="29" spans="1:4">
      <c r="A29" s="3" t="s">
        <v>52</v>
      </c>
      <c r="B29" s="3"/>
      <c r="C29" s="3"/>
      <c r="D29" s="1"/>
    </row>
    <row r="30" spans="1:4">
      <c r="A30" s="3" t="s">
        <v>53</v>
      </c>
      <c r="B30" s="3"/>
      <c r="C30" s="3"/>
      <c r="D30" s="1"/>
    </row>
    <row r="31" spans="1:4">
      <c r="A31" s="3" t="s">
        <v>54</v>
      </c>
      <c r="B31" s="3"/>
      <c r="C31" s="3"/>
      <c r="D31" s="1"/>
    </row>
    <row r="32" spans="1:4">
      <c r="A32" s="3" t="s">
        <v>55</v>
      </c>
      <c r="B32" s="3"/>
      <c r="C32" s="3"/>
      <c r="D32" s="1"/>
    </row>
    <row r="33" spans="1:4">
      <c r="A33" s="3" t="s">
        <v>56</v>
      </c>
      <c r="B33" s="3"/>
      <c r="C33" s="3"/>
      <c r="D33" s="1"/>
    </row>
    <row r="34" spans="1:4">
      <c r="A34" s="3" t="s">
        <v>57</v>
      </c>
      <c r="B34" s="3"/>
      <c r="C34" s="3"/>
      <c r="D34" s="1"/>
    </row>
    <row r="35" spans="1:4">
      <c r="A35" s="3" t="s">
        <v>58</v>
      </c>
      <c r="B35" s="3"/>
      <c r="C35" s="3"/>
      <c r="D35" s="1"/>
    </row>
    <row r="36" spans="1:4">
      <c r="A36" s="3" t="s">
        <v>59</v>
      </c>
      <c r="B36" s="3"/>
      <c r="C36" s="3"/>
      <c r="D36" s="1"/>
    </row>
    <row r="37" spans="1:4">
      <c r="A37" s="3" t="s">
        <v>60</v>
      </c>
      <c r="B37" s="3"/>
      <c r="C37" s="3"/>
      <c r="D37" s="1"/>
    </row>
    <row r="38" spans="1:4">
      <c r="A38" s="3" t="s">
        <v>61</v>
      </c>
      <c r="B38" s="3"/>
      <c r="C38" s="3"/>
      <c r="D38" s="1"/>
    </row>
    <row r="39" spans="1:4">
      <c r="A39" s="3" t="s">
        <v>62</v>
      </c>
      <c r="B39" s="3"/>
      <c r="C39" s="3"/>
      <c r="D39" s="1"/>
    </row>
    <row r="40" spans="1:4">
      <c r="A40" s="3" t="s">
        <v>63</v>
      </c>
      <c r="B40" s="3" t="s">
        <v>64</v>
      </c>
      <c r="C40" s="3" t="s">
        <v>65</v>
      </c>
      <c r="D40" s="1"/>
    </row>
    <row r="41" spans="1:4">
      <c r="A41" s="3" t="s">
        <v>66</v>
      </c>
      <c r="B41" s="3"/>
      <c r="C41" s="3"/>
      <c r="D41" s="1"/>
    </row>
    <row r="42" spans="1:4">
      <c r="A42" s="3" t="s">
        <v>67</v>
      </c>
      <c r="B42" s="3"/>
      <c r="C42" s="3"/>
      <c r="D42" s="1"/>
    </row>
    <row r="43" spans="1:4">
      <c r="A43" s="1"/>
      <c r="B43" s="1"/>
      <c r="C43" s="1"/>
      <c r="D43" s="1"/>
    </row>
    <row r="44" spans="1:4">
      <c r="A44" s="5" t="s">
        <v>68</v>
      </c>
      <c r="B44" s="5" t="s">
        <v>69</v>
      </c>
      <c r="C44" s="1"/>
      <c r="D44" s="1"/>
    </row>
    <row r="45" spans="1:4">
      <c r="A45" s="3" t="str">
        <f>UPPER("Edward Cong Wang, CEO and Chairman")</f>
        <v>EDWARD CONG WANG, CEO AND CHAIRMAN</v>
      </c>
      <c r="B45" s="75" t="s">
        <v>70</v>
      </c>
      <c r="C45" s="1"/>
      <c r="D45" s="1"/>
    </row>
    <row r="46" spans="1:4">
      <c r="A46" s="95" t="str">
        <f>UPPER("Ziqi Zhao, CFO")</f>
        <v>ZIQI ZHAO, CFO</v>
      </c>
      <c r="B46" s="75" t="s">
        <v>70</v>
      </c>
      <c r="C46" s="1"/>
      <c r="D46" s="1"/>
    </row>
    <row r="47" spans="1:4">
      <c r="A47" s="95" t="str">
        <f>UPPER("Raymond J. Gibbs, Director")</f>
        <v>RAYMOND J. GIBBS, DIRECTOR</v>
      </c>
      <c r="B47" s="75" t="s">
        <v>70</v>
      </c>
      <c r="C47" s="1"/>
      <c r="D47" s="1"/>
    </row>
    <row r="48" spans="1:4">
      <c r="A48" s="95" t="str">
        <f>UPPER("Manuel C. Menendez III, Director")</f>
        <v>MANUEL C. MENENDEZ III, DIRECTOR</v>
      </c>
      <c r="B48" s="75" t="s">
        <v>70</v>
      </c>
      <c r="C48" s="1"/>
      <c r="D48" s="1"/>
    </row>
    <row r="49" spans="1:4">
      <c r="A49" s="95" t="str">
        <f>UPPER("Stephen Yas, Director")</f>
        <v>STEPHEN YAS, DIRECTOR</v>
      </c>
      <c r="B49" s="75" t="s">
        <v>70</v>
      </c>
      <c r="C49" s="1"/>
      <c r="D49" s="1"/>
    </row>
    <row r="51" spans="1:4">
      <c r="B51" s="1"/>
    </row>
    <row r="52" spans="1:4">
      <c r="B52" s="1"/>
    </row>
    <row r="53" spans="1:4">
      <c r="B53" s="1"/>
    </row>
    <row r="54" spans="1:4">
      <c r="B54" s="1"/>
    </row>
    <row r="55" spans="1:4">
      <c r="B55" s="1"/>
    </row>
    <row r="56" spans="1:4">
      <c r="B56" s="1"/>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2D5B-CB2F-5F47-8F1F-09F13B21B85A}">
  <sheetPr>
    <outlinePr summaryBelow="0" summaryRight="0"/>
  </sheetPr>
  <dimension ref="A1:AJ167"/>
  <sheetViews>
    <sheetView topLeftCell="F1" zoomScale="130" zoomScaleNormal="130" workbookViewId="0">
      <selection activeCell="K45" sqref="K45"/>
    </sheetView>
  </sheetViews>
  <sheetFormatPr defaultColWidth="12.42578125" defaultRowHeight="15.75" customHeight="1"/>
  <cols>
    <col min="1" max="1" width="34.85546875" style="18" customWidth="1"/>
    <col min="2" max="2" width="12.42578125" style="18"/>
    <col min="3" max="3" width="14.42578125" style="18" customWidth="1"/>
    <col min="4" max="4" width="12.42578125" style="18"/>
    <col min="5" max="6" width="25.42578125" style="18" customWidth="1"/>
    <col min="7" max="9" width="16.42578125" style="18" customWidth="1"/>
    <col min="10" max="10" width="20.140625" style="18" bestFit="1" customWidth="1"/>
    <col min="11" max="12" width="19" style="18" customWidth="1"/>
    <col min="13" max="13" width="21.42578125" style="18" bestFit="1" customWidth="1"/>
    <col min="14" max="14" width="16.42578125" style="18" customWidth="1"/>
    <col min="15" max="15" width="13.42578125" style="18" customWidth="1"/>
    <col min="16" max="16" width="11.140625" style="18" customWidth="1"/>
    <col min="17" max="17" width="12.42578125" style="18" customWidth="1"/>
    <col min="18" max="18" width="32.42578125" style="18" customWidth="1"/>
    <col min="19" max="19" width="21.42578125" style="18" customWidth="1"/>
    <col min="20" max="21" width="16.42578125" style="18" customWidth="1"/>
    <col min="22" max="22" width="33.140625" style="18" customWidth="1"/>
    <col min="23" max="28" width="12.42578125" style="18"/>
    <col min="29" max="29" width="34.85546875" style="18" customWidth="1"/>
    <col min="30" max="31" width="12.42578125" style="18"/>
    <col min="32" max="32" width="18.42578125" style="18" customWidth="1"/>
    <col min="33" max="33" width="17.42578125" style="18" customWidth="1"/>
    <col min="34" max="34" width="18.42578125" style="18" customWidth="1"/>
    <col min="35" max="35" width="12.42578125" style="18"/>
    <col min="36" max="36" width="13.42578125" style="18" customWidth="1"/>
    <col min="37" max="16384" width="12.42578125" style="18"/>
  </cols>
  <sheetData>
    <row r="1" spans="1:36" ht="15.75" customHeight="1">
      <c r="A1" s="17" t="s">
        <v>71</v>
      </c>
      <c r="B1" s="17" t="s">
        <v>72</v>
      </c>
      <c r="C1" s="17" t="s">
        <v>73</v>
      </c>
      <c r="D1" s="17" t="s">
        <v>74</v>
      </c>
      <c r="E1" s="17" t="s">
        <v>75</v>
      </c>
      <c r="F1" s="17" t="s">
        <v>76</v>
      </c>
      <c r="G1" s="17" t="s">
        <v>77</v>
      </c>
      <c r="H1" s="17" t="s">
        <v>78</v>
      </c>
      <c r="I1" s="17" t="s">
        <v>79</v>
      </c>
      <c r="J1" s="17" t="s">
        <v>80</v>
      </c>
      <c r="K1" s="17" t="s">
        <v>81</v>
      </c>
      <c r="L1" s="17" t="s">
        <v>82</v>
      </c>
      <c r="M1" s="17" t="s">
        <v>83</v>
      </c>
      <c r="N1" s="17" t="s">
        <v>84</v>
      </c>
      <c r="O1" s="17" t="s">
        <v>85</v>
      </c>
      <c r="P1" s="17" t="s">
        <v>86</v>
      </c>
      <c r="Q1" s="17" t="s">
        <v>87</v>
      </c>
      <c r="R1" s="17" t="s">
        <v>88</v>
      </c>
      <c r="S1" s="17" t="s">
        <v>89</v>
      </c>
      <c r="T1" s="17" t="s">
        <v>90</v>
      </c>
      <c r="U1" s="17" t="s">
        <v>91</v>
      </c>
      <c r="V1" s="17" t="s">
        <v>92</v>
      </c>
      <c r="W1" s="17" t="s">
        <v>93</v>
      </c>
      <c r="X1" s="17" t="s">
        <v>94</v>
      </c>
      <c r="Y1" s="17" t="s">
        <v>95</v>
      </c>
      <c r="Z1" s="17" t="s">
        <v>96</v>
      </c>
      <c r="AA1" s="17" t="s">
        <v>97</v>
      </c>
      <c r="AB1" s="17" t="s">
        <v>98</v>
      </c>
      <c r="AC1" s="17" t="s">
        <v>99</v>
      </c>
      <c r="AD1" s="17" t="s">
        <v>100</v>
      </c>
      <c r="AE1" s="17" t="s">
        <v>101</v>
      </c>
      <c r="AF1" s="17" t="s">
        <v>102</v>
      </c>
      <c r="AG1" s="17" t="s">
        <v>103</v>
      </c>
      <c r="AH1" s="17" t="s">
        <v>104</v>
      </c>
      <c r="AI1" s="93" t="s">
        <v>105</v>
      </c>
      <c r="AJ1" s="18" t="s">
        <v>106</v>
      </c>
    </row>
    <row r="2" spans="1:36" ht="12.95">
      <c r="A2" s="19"/>
      <c r="B2" s="20"/>
      <c r="C2" s="21"/>
      <c r="D2" s="20"/>
      <c r="E2" s="20"/>
      <c r="F2" s="20"/>
      <c r="G2" s="22"/>
      <c r="H2" s="22"/>
      <c r="I2" s="22"/>
      <c r="K2" s="23"/>
      <c r="L2" s="23"/>
      <c r="M2" s="23"/>
      <c r="O2" s="20"/>
      <c r="P2" s="20"/>
      <c r="Q2" s="20"/>
      <c r="R2" s="20"/>
      <c r="S2" s="20"/>
      <c r="U2" s="20"/>
      <c r="V2" s="19"/>
      <c r="W2" s="19"/>
      <c r="X2" s="19"/>
      <c r="Y2" s="19"/>
      <c r="Z2" s="19"/>
    </row>
    <row r="3" spans="1:36" ht="12.75">
      <c r="A3" s="19" t="s">
        <v>107</v>
      </c>
      <c r="B3" s="20" t="s">
        <v>108</v>
      </c>
      <c r="C3" s="20" t="s">
        <v>26</v>
      </c>
      <c r="D3" s="20" t="s">
        <v>109</v>
      </c>
      <c r="E3" s="20" t="s">
        <v>110</v>
      </c>
      <c r="F3" s="20" t="s">
        <v>111</v>
      </c>
      <c r="G3" s="22" t="s">
        <v>112</v>
      </c>
      <c r="H3" s="21">
        <v>45938</v>
      </c>
      <c r="I3" s="22"/>
      <c r="J3" s="23">
        <v>11500000</v>
      </c>
      <c r="K3" s="23" t="s">
        <v>113</v>
      </c>
      <c r="L3" s="23"/>
      <c r="M3" s="23"/>
      <c r="O3" s="20" t="s">
        <v>114</v>
      </c>
      <c r="P3" s="20" t="s">
        <v>115</v>
      </c>
      <c r="Q3" s="19">
        <v>1</v>
      </c>
      <c r="R3" s="59" t="s">
        <v>116</v>
      </c>
      <c r="S3" s="20" t="s">
        <v>113</v>
      </c>
      <c r="U3" s="20" t="s">
        <v>117</v>
      </c>
      <c r="V3" s="19" t="s">
        <v>118</v>
      </c>
      <c r="W3" s="19" t="s">
        <v>119</v>
      </c>
      <c r="X3" s="19" t="s">
        <v>120</v>
      </c>
      <c r="Y3" s="19">
        <v>10041</v>
      </c>
      <c r="Z3" s="19" t="s">
        <v>121</v>
      </c>
      <c r="AA3" s="19" t="s">
        <v>122</v>
      </c>
      <c r="AB3" s="19" t="s">
        <v>123</v>
      </c>
      <c r="AF3" s="19">
        <v>100</v>
      </c>
      <c r="AI3" s="68">
        <v>45938</v>
      </c>
      <c r="AJ3" s="94" t="s">
        <v>124</v>
      </c>
    </row>
    <row r="4" spans="1:36">
      <c r="A4" s="19"/>
      <c r="B4" s="20"/>
      <c r="C4" s="20"/>
      <c r="D4" s="20"/>
      <c r="E4" s="20" t="s">
        <v>110</v>
      </c>
      <c r="F4" s="20" t="s">
        <v>125</v>
      </c>
      <c r="G4" s="22" t="s">
        <v>126</v>
      </c>
      <c r="H4" s="21" t="s">
        <v>113</v>
      </c>
      <c r="I4" s="107">
        <v>45967</v>
      </c>
      <c r="J4" s="108">
        <v>-465815</v>
      </c>
      <c r="K4" s="23"/>
      <c r="L4" s="23"/>
      <c r="M4" s="23"/>
      <c r="O4" s="20" t="s">
        <v>114</v>
      </c>
      <c r="P4" s="20" t="s">
        <v>115</v>
      </c>
      <c r="Q4" s="19">
        <v>1</v>
      </c>
      <c r="R4" s="59" t="s">
        <v>116</v>
      </c>
      <c r="S4" s="20" t="s">
        <v>113</v>
      </c>
      <c r="U4" s="20" t="s">
        <v>117</v>
      </c>
      <c r="V4" s="19" t="s">
        <v>118</v>
      </c>
      <c r="W4" s="19" t="s">
        <v>119</v>
      </c>
      <c r="X4" s="19" t="s">
        <v>120</v>
      </c>
      <c r="Y4" s="19">
        <v>10041</v>
      </c>
      <c r="Z4" s="19" t="s">
        <v>121</v>
      </c>
      <c r="AA4" s="19" t="s">
        <v>122</v>
      </c>
      <c r="AB4" s="19" t="s">
        <v>123</v>
      </c>
      <c r="AF4" s="19">
        <v>100</v>
      </c>
      <c r="AI4" s="68">
        <v>45938</v>
      </c>
      <c r="AJ4" s="94" t="s">
        <v>124</v>
      </c>
    </row>
    <row r="5" spans="1:36">
      <c r="A5" s="19"/>
      <c r="B5" s="20"/>
      <c r="C5" s="20"/>
      <c r="D5" s="20"/>
      <c r="E5" s="20" t="s">
        <v>110</v>
      </c>
      <c r="F5" s="20" t="s">
        <v>125</v>
      </c>
      <c r="G5" s="22" t="s">
        <v>126</v>
      </c>
      <c r="H5" s="21"/>
      <c r="I5" s="107">
        <v>45967</v>
      </c>
      <c r="J5" s="108">
        <v>-217084</v>
      </c>
      <c r="K5" s="23"/>
      <c r="L5" s="23"/>
      <c r="M5" s="23"/>
      <c r="O5" s="20" t="s">
        <v>114</v>
      </c>
      <c r="P5" s="20" t="s">
        <v>115</v>
      </c>
      <c r="Q5" s="19">
        <v>1</v>
      </c>
      <c r="R5" s="59" t="s">
        <v>116</v>
      </c>
      <c r="S5" s="20" t="s">
        <v>113</v>
      </c>
      <c r="U5" s="20" t="s">
        <v>117</v>
      </c>
      <c r="V5" s="19" t="s">
        <v>118</v>
      </c>
      <c r="W5" s="19" t="s">
        <v>119</v>
      </c>
      <c r="X5" s="19" t="s">
        <v>120</v>
      </c>
      <c r="Y5" s="19">
        <v>10041</v>
      </c>
      <c r="Z5" s="19" t="s">
        <v>121</v>
      </c>
      <c r="AA5" s="19" t="s">
        <v>122</v>
      </c>
      <c r="AB5" s="19" t="s">
        <v>123</v>
      </c>
      <c r="AF5" s="19">
        <v>100</v>
      </c>
      <c r="AI5" s="68">
        <v>45938</v>
      </c>
      <c r="AJ5" s="94" t="s">
        <v>124</v>
      </c>
    </row>
    <row r="6" spans="1:36">
      <c r="A6" s="19"/>
      <c r="B6" s="20"/>
      <c r="C6" s="20"/>
      <c r="D6" s="20"/>
      <c r="E6" s="20" t="s">
        <v>110</v>
      </c>
      <c r="F6" s="20" t="s">
        <v>125</v>
      </c>
      <c r="G6" s="22" t="s">
        <v>126</v>
      </c>
      <c r="H6" s="21"/>
      <c r="I6" s="107">
        <v>45967</v>
      </c>
      <c r="J6" s="108">
        <v>-133947</v>
      </c>
      <c r="K6" s="23"/>
      <c r="L6" s="23"/>
      <c r="M6" s="23"/>
      <c r="O6" s="20" t="s">
        <v>114</v>
      </c>
      <c r="P6" s="20" t="s">
        <v>115</v>
      </c>
      <c r="Q6" s="19">
        <v>1</v>
      </c>
      <c r="R6" s="59" t="s">
        <v>116</v>
      </c>
      <c r="S6" s="20" t="s">
        <v>113</v>
      </c>
      <c r="U6" s="20" t="s">
        <v>117</v>
      </c>
      <c r="V6" s="19" t="s">
        <v>118</v>
      </c>
      <c r="W6" s="19" t="s">
        <v>119</v>
      </c>
      <c r="X6" s="19" t="s">
        <v>120</v>
      </c>
      <c r="Y6" s="19">
        <v>10041</v>
      </c>
      <c r="Z6" s="19" t="s">
        <v>121</v>
      </c>
      <c r="AA6" s="19" t="s">
        <v>122</v>
      </c>
      <c r="AB6" s="19" t="s">
        <v>123</v>
      </c>
      <c r="AF6" s="19">
        <v>100</v>
      </c>
      <c r="AI6" s="68">
        <v>45938</v>
      </c>
      <c r="AJ6" s="94" t="s">
        <v>124</v>
      </c>
    </row>
    <row r="7" spans="1:36">
      <c r="A7" s="19"/>
      <c r="B7" s="20"/>
      <c r="C7" s="20"/>
      <c r="D7" s="20"/>
      <c r="E7" s="20" t="s">
        <v>110</v>
      </c>
      <c r="F7" s="20" t="s">
        <v>125</v>
      </c>
      <c r="G7" s="22" t="s">
        <v>126</v>
      </c>
      <c r="H7" s="21"/>
      <c r="I7" s="107">
        <v>45967</v>
      </c>
      <c r="J7" s="108">
        <v>-269825</v>
      </c>
      <c r="K7" s="23"/>
      <c r="L7" s="23"/>
      <c r="M7" s="23"/>
      <c r="O7" s="20" t="s">
        <v>114</v>
      </c>
      <c r="P7" s="20" t="s">
        <v>115</v>
      </c>
      <c r="Q7" s="19">
        <v>1</v>
      </c>
      <c r="R7" s="59" t="s">
        <v>116</v>
      </c>
      <c r="S7" s="20" t="s">
        <v>113</v>
      </c>
      <c r="U7" s="20" t="s">
        <v>117</v>
      </c>
      <c r="V7" s="19" t="s">
        <v>118</v>
      </c>
      <c r="W7" s="19" t="s">
        <v>119</v>
      </c>
      <c r="X7" s="19" t="s">
        <v>120</v>
      </c>
      <c r="Y7" s="19">
        <v>10041</v>
      </c>
      <c r="Z7" s="19" t="s">
        <v>121</v>
      </c>
      <c r="AA7" s="19" t="s">
        <v>122</v>
      </c>
      <c r="AB7" s="19" t="s">
        <v>123</v>
      </c>
      <c r="AF7" s="19">
        <v>100</v>
      </c>
      <c r="AI7" s="68">
        <v>45938</v>
      </c>
      <c r="AJ7" s="94" t="s">
        <v>124</v>
      </c>
    </row>
    <row r="8" spans="1:36">
      <c r="A8" s="19"/>
      <c r="B8" s="20"/>
      <c r="C8" s="20"/>
      <c r="D8" s="20"/>
      <c r="E8" s="20" t="s">
        <v>110</v>
      </c>
      <c r="F8" s="20" t="s">
        <v>125</v>
      </c>
      <c r="G8" s="22" t="s">
        <v>126</v>
      </c>
      <c r="H8" s="21"/>
      <c r="I8" s="107">
        <v>45967</v>
      </c>
      <c r="J8" s="108">
        <v>-140000</v>
      </c>
      <c r="K8" s="23"/>
      <c r="L8" s="23"/>
      <c r="M8" s="23"/>
      <c r="O8" s="20" t="s">
        <v>114</v>
      </c>
      <c r="P8" s="20" t="s">
        <v>115</v>
      </c>
      <c r="Q8" s="19">
        <v>1</v>
      </c>
      <c r="R8" s="59" t="s">
        <v>116</v>
      </c>
      <c r="S8" s="20" t="s">
        <v>113</v>
      </c>
      <c r="U8" s="20" t="s">
        <v>117</v>
      </c>
      <c r="V8" s="19" t="s">
        <v>118</v>
      </c>
      <c r="W8" s="19" t="s">
        <v>119</v>
      </c>
      <c r="X8" s="19" t="s">
        <v>120</v>
      </c>
      <c r="Y8" s="19">
        <v>10041</v>
      </c>
      <c r="Z8" s="19" t="s">
        <v>121</v>
      </c>
      <c r="AA8" s="19" t="s">
        <v>122</v>
      </c>
      <c r="AB8" s="19" t="s">
        <v>123</v>
      </c>
      <c r="AF8" s="19">
        <v>100</v>
      </c>
      <c r="AI8" s="68">
        <v>45938</v>
      </c>
      <c r="AJ8" s="94" t="s">
        <v>124</v>
      </c>
    </row>
    <row r="9" spans="1:36">
      <c r="A9" s="19"/>
      <c r="B9" s="20"/>
      <c r="C9" s="20"/>
      <c r="D9" s="20"/>
      <c r="E9" s="20" t="s">
        <v>110</v>
      </c>
      <c r="F9" s="20" t="s">
        <v>125</v>
      </c>
      <c r="G9" s="22" t="s">
        <v>126</v>
      </c>
      <c r="H9" s="21"/>
      <c r="I9" s="107">
        <v>45967</v>
      </c>
      <c r="J9" s="108">
        <v>-35000</v>
      </c>
      <c r="K9" s="23"/>
      <c r="L9" s="23"/>
      <c r="M9" s="23"/>
      <c r="O9" s="20" t="s">
        <v>114</v>
      </c>
      <c r="P9" s="20" t="s">
        <v>115</v>
      </c>
      <c r="Q9" s="19">
        <v>1</v>
      </c>
      <c r="R9" s="59" t="s">
        <v>116</v>
      </c>
      <c r="S9" s="20" t="s">
        <v>113</v>
      </c>
      <c r="U9" s="20" t="s">
        <v>117</v>
      </c>
      <c r="V9" s="19" t="s">
        <v>118</v>
      </c>
      <c r="W9" s="19" t="s">
        <v>119</v>
      </c>
      <c r="X9" s="19" t="s">
        <v>120</v>
      </c>
      <c r="Y9" s="19">
        <v>10041</v>
      </c>
      <c r="Z9" s="19" t="s">
        <v>121</v>
      </c>
      <c r="AA9" s="19" t="s">
        <v>122</v>
      </c>
      <c r="AB9" s="19" t="s">
        <v>123</v>
      </c>
      <c r="AF9" s="19">
        <v>100</v>
      </c>
      <c r="AI9" s="68">
        <v>45938</v>
      </c>
      <c r="AJ9" s="94" t="s">
        <v>124</v>
      </c>
    </row>
    <row r="10" spans="1:36">
      <c r="A10" s="19"/>
      <c r="B10" s="20"/>
      <c r="C10" s="20"/>
      <c r="D10" s="20"/>
      <c r="E10" s="20" t="s">
        <v>110</v>
      </c>
      <c r="F10" s="20" t="s">
        <v>125</v>
      </c>
      <c r="G10" s="22" t="s">
        <v>126</v>
      </c>
      <c r="H10" s="21"/>
      <c r="I10" s="107">
        <v>45967</v>
      </c>
      <c r="J10" s="108">
        <v>-35000</v>
      </c>
      <c r="K10" s="23"/>
      <c r="L10" s="23"/>
      <c r="M10" s="23"/>
      <c r="O10" s="20" t="s">
        <v>114</v>
      </c>
      <c r="P10" s="20" t="s">
        <v>115</v>
      </c>
      <c r="Q10" s="19">
        <v>1</v>
      </c>
      <c r="R10" s="59" t="s">
        <v>116</v>
      </c>
      <c r="S10" s="20" t="s">
        <v>113</v>
      </c>
      <c r="U10" s="20" t="s">
        <v>117</v>
      </c>
      <c r="V10" s="19" t="s">
        <v>118</v>
      </c>
      <c r="W10" s="19" t="s">
        <v>119</v>
      </c>
      <c r="X10" s="19" t="s">
        <v>120</v>
      </c>
      <c r="Y10" s="19">
        <v>10041</v>
      </c>
      <c r="Z10" s="19" t="s">
        <v>121</v>
      </c>
      <c r="AA10" s="19" t="s">
        <v>122</v>
      </c>
      <c r="AB10" s="19" t="s">
        <v>123</v>
      </c>
      <c r="AF10" s="19">
        <v>100</v>
      </c>
      <c r="AI10" s="68">
        <v>45938</v>
      </c>
      <c r="AJ10" s="94" t="s">
        <v>124</v>
      </c>
    </row>
    <row r="11" spans="1:36">
      <c r="A11" s="19"/>
      <c r="B11" s="20"/>
      <c r="C11" s="20"/>
      <c r="D11" s="20"/>
      <c r="E11" s="20" t="s">
        <v>110</v>
      </c>
      <c r="F11" s="20" t="s">
        <v>125</v>
      </c>
      <c r="G11" s="22" t="s">
        <v>126</v>
      </c>
      <c r="H11" s="21"/>
      <c r="I11" s="107">
        <v>45967</v>
      </c>
      <c r="J11" s="108">
        <v>-178682</v>
      </c>
      <c r="K11" s="23" t="s">
        <v>113</v>
      </c>
      <c r="L11" s="23"/>
      <c r="M11" s="23"/>
      <c r="O11" s="20" t="s">
        <v>114</v>
      </c>
      <c r="P11" s="20" t="s">
        <v>115</v>
      </c>
      <c r="Q11" s="19">
        <v>1</v>
      </c>
      <c r="R11" s="59" t="s">
        <v>116</v>
      </c>
      <c r="S11" s="20" t="s">
        <v>113</v>
      </c>
      <c r="U11" s="20" t="s">
        <v>117</v>
      </c>
      <c r="V11" s="19" t="s">
        <v>118</v>
      </c>
      <c r="W11" s="19" t="s">
        <v>119</v>
      </c>
      <c r="X11" s="19" t="s">
        <v>120</v>
      </c>
      <c r="Y11" s="19">
        <v>10041</v>
      </c>
      <c r="Z11" s="19" t="s">
        <v>121</v>
      </c>
      <c r="AA11" s="19" t="s">
        <v>122</v>
      </c>
      <c r="AB11" s="19" t="s">
        <v>123</v>
      </c>
      <c r="AF11" s="19">
        <v>100</v>
      </c>
      <c r="AI11" s="68">
        <v>45938</v>
      </c>
      <c r="AJ11" s="94" t="s">
        <v>124</v>
      </c>
    </row>
    <row r="12" spans="1:36">
      <c r="A12" s="19"/>
      <c r="B12" s="20"/>
      <c r="C12" s="20"/>
      <c r="D12" s="20"/>
      <c r="E12" s="20" t="s">
        <v>110</v>
      </c>
      <c r="F12" s="20" t="s">
        <v>125</v>
      </c>
      <c r="G12" s="22" t="s">
        <v>126</v>
      </c>
      <c r="H12" s="21"/>
      <c r="I12" s="107">
        <v>45968</v>
      </c>
      <c r="J12" s="108">
        <v>-126679</v>
      </c>
      <c r="K12" s="23"/>
      <c r="L12" s="23"/>
      <c r="M12" s="23"/>
      <c r="O12" s="20" t="s">
        <v>114</v>
      </c>
      <c r="P12" s="20" t="s">
        <v>115</v>
      </c>
      <c r="Q12" s="19">
        <v>1</v>
      </c>
      <c r="R12" s="59" t="s">
        <v>116</v>
      </c>
      <c r="S12" s="20" t="s">
        <v>113</v>
      </c>
      <c r="U12" s="20" t="s">
        <v>117</v>
      </c>
      <c r="V12" s="19" t="s">
        <v>118</v>
      </c>
      <c r="W12" s="19" t="s">
        <v>119</v>
      </c>
      <c r="X12" s="19" t="s">
        <v>120</v>
      </c>
      <c r="Y12" s="19">
        <v>10041</v>
      </c>
      <c r="Z12" s="19" t="s">
        <v>121</v>
      </c>
      <c r="AA12" s="19" t="s">
        <v>122</v>
      </c>
      <c r="AB12" s="19" t="s">
        <v>123</v>
      </c>
      <c r="AF12" s="19">
        <v>100</v>
      </c>
      <c r="AI12" s="68">
        <v>45938</v>
      </c>
      <c r="AJ12" s="94" t="s">
        <v>124</v>
      </c>
    </row>
    <row r="13" spans="1:36">
      <c r="A13" s="19"/>
      <c r="B13" s="20"/>
      <c r="C13" s="20"/>
      <c r="D13" s="20"/>
      <c r="E13" s="20" t="s">
        <v>110</v>
      </c>
      <c r="F13" s="20" t="s">
        <v>125</v>
      </c>
      <c r="G13" s="22" t="s">
        <v>126</v>
      </c>
      <c r="H13" s="21"/>
      <c r="I13" s="107">
        <v>45968</v>
      </c>
      <c r="J13" s="108">
        <v>-528723</v>
      </c>
      <c r="K13" s="23"/>
      <c r="L13" s="23"/>
      <c r="M13" s="23"/>
      <c r="O13" s="20" t="s">
        <v>114</v>
      </c>
      <c r="P13" s="20" t="s">
        <v>115</v>
      </c>
      <c r="Q13" s="19">
        <v>1</v>
      </c>
      <c r="R13" s="59" t="s">
        <v>116</v>
      </c>
      <c r="S13" s="20" t="s">
        <v>113</v>
      </c>
      <c r="U13" s="20" t="s">
        <v>117</v>
      </c>
      <c r="V13" s="19" t="s">
        <v>118</v>
      </c>
      <c r="W13" s="19" t="s">
        <v>119</v>
      </c>
      <c r="X13" s="19" t="s">
        <v>120</v>
      </c>
      <c r="Y13" s="19">
        <v>10041</v>
      </c>
      <c r="Z13" s="19" t="s">
        <v>121</v>
      </c>
      <c r="AA13" s="19" t="s">
        <v>122</v>
      </c>
      <c r="AB13" s="19" t="s">
        <v>123</v>
      </c>
      <c r="AF13" s="19">
        <v>100</v>
      </c>
      <c r="AI13" s="68">
        <v>45938</v>
      </c>
      <c r="AJ13" s="94" t="s">
        <v>124</v>
      </c>
    </row>
    <row r="14" spans="1:36">
      <c r="A14" s="19"/>
      <c r="B14" s="20"/>
      <c r="C14" s="20"/>
      <c r="D14" s="20"/>
      <c r="E14" s="20" t="s">
        <v>110</v>
      </c>
      <c r="F14" s="20" t="s">
        <v>125</v>
      </c>
      <c r="G14" s="22" t="s">
        <v>126</v>
      </c>
      <c r="H14" s="21"/>
      <c r="I14" s="107">
        <v>45968</v>
      </c>
      <c r="J14" s="108">
        <v>-181250</v>
      </c>
      <c r="K14" s="23"/>
      <c r="L14" s="23"/>
      <c r="M14" s="23"/>
      <c r="O14" s="20" t="s">
        <v>114</v>
      </c>
      <c r="P14" s="20" t="s">
        <v>115</v>
      </c>
      <c r="Q14" s="19">
        <v>1</v>
      </c>
      <c r="R14" s="59" t="s">
        <v>116</v>
      </c>
      <c r="S14" s="20" t="s">
        <v>113</v>
      </c>
      <c r="U14" s="20" t="s">
        <v>117</v>
      </c>
      <c r="V14" s="19" t="s">
        <v>118</v>
      </c>
      <c r="W14" s="19" t="s">
        <v>119</v>
      </c>
      <c r="X14" s="19" t="s">
        <v>120</v>
      </c>
      <c r="Y14" s="19">
        <v>10041</v>
      </c>
      <c r="Z14" s="19" t="s">
        <v>121</v>
      </c>
      <c r="AA14" s="19" t="s">
        <v>122</v>
      </c>
      <c r="AB14" s="19" t="s">
        <v>123</v>
      </c>
      <c r="AF14" s="19">
        <v>100</v>
      </c>
      <c r="AI14" s="68">
        <v>45938</v>
      </c>
      <c r="AJ14" s="94" t="s">
        <v>124</v>
      </c>
    </row>
    <row r="15" spans="1:36">
      <c r="A15" s="19"/>
      <c r="B15" s="20"/>
      <c r="C15" s="20"/>
      <c r="D15" s="20"/>
      <c r="E15" s="20" t="s">
        <v>110</v>
      </c>
      <c r="F15" s="20" t="s">
        <v>125</v>
      </c>
      <c r="G15" s="22" t="s">
        <v>126</v>
      </c>
      <c r="H15" s="21"/>
      <c r="I15" s="107">
        <v>45968</v>
      </c>
      <c r="J15" s="108">
        <v>-1077475</v>
      </c>
      <c r="K15" s="23"/>
      <c r="L15" s="23"/>
      <c r="M15" s="23"/>
      <c r="O15" s="20" t="s">
        <v>114</v>
      </c>
      <c r="P15" s="20" t="s">
        <v>115</v>
      </c>
      <c r="Q15" s="19">
        <v>1</v>
      </c>
      <c r="R15" s="59" t="s">
        <v>116</v>
      </c>
      <c r="S15" s="20" t="s">
        <v>113</v>
      </c>
      <c r="U15" s="20" t="s">
        <v>117</v>
      </c>
      <c r="V15" s="19" t="s">
        <v>118</v>
      </c>
      <c r="W15" s="19" t="s">
        <v>119</v>
      </c>
      <c r="X15" s="19" t="s">
        <v>120</v>
      </c>
      <c r="Y15" s="19">
        <v>10041</v>
      </c>
      <c r="Z15" s="19" t="s">
        <v>121</v>
      </c>
      <c r="AA15" s="19" t="s">
        <v>122</v>
      </c>
      <c r="AB15" s="19" t="s">
        <v>123</v>
      </c>
      <c r="AF15" s="19">
        <v>100</v>
      </c>
      <c r="AI15" s="68">
        <v>45938</v>
      </c>
      <c r="AJ15" s="94" t="s">
        <v>124</v>
      </c>
    </row>
    <row r="16" spans="1:36">
      <c r="A16" s="19"/>
      <c r="B16" s="20"/>
      <c r="C16" s="20"/>
      <c r="D16" s="20"/>
      <c r="E16" s="20" t="s">
        <v>110</v>
      </c>
      <c r="F16" s="20" t="s">
        <v>125</v>
      </c>
      <c r="G16" s="22" t="s">
        <v>126</v>
      </c>
      <c r="H16" s="21"/>
      <c r="I16" s="107">
        <v>45968</v>
      </c>
      <c r="J16" s="108">
        <v>-420000</v>
      </c>
      <c r="K16" s="23"/>
      <c r="L16" s="23"/>
      <c r="M16" s="23"/>
      <c r="O16" s="20" t="s">
        <v>114</v>
      </c>
      <c r="P16" s="20" t="s">
        <v>115</v>
      </c>
      <c r="Q16" s="19">
        <v>1</v>
      </c>
      <c r="R16" s="59" t="s">
        <v>116</v>
      </c>
      <c r="S16" s="20" t="s">
        <v>113</v>
      </c>
      <c r="U16" s="20" t="s">
        <v>117</v>
      </c>
      <c r="V16" s="19" t="s">
        <v>118</v>
      </c>
      <c r="W16" s="19" t="s">
        <v>119</v>
      </c>
      <c r="X16" s="19" t="s">
        <v>120</v>
      </c>
      <c r="Y16" s="19">
        <v>10041</v>
      </c>
      <c r="Z16" s="19" t="s">
        <v>121</v>
      </c>
      <c r="AA16" s="19" t="s">
        <v>122</v>
      </c>
      <c r="AB16" s="19" t="s">
        <v>123</v>
      </c>
      <c r="AF16" s="19">
        <v>100</v>
      </c>
      <c r="AI16" s="68">
        <v>45938</v>
      </c>
      <c r="AJ16" s="94" t="s">
        <v>124</v>
      </c>
    </row>
    <row r="17" spans="1:36">
      <c r="A17" s="19"/>
      <c r="B17" s="20"/>
      <c r="C17" s="20"/>
      <c r="D17" s="20"/>
      <c r="E17" s="20" t="s">
        <v>110</v>
      </c>
      <c r="F17" s="20" t="s">
        <v>125</v>
      </c>
      <c r="G17" s="22" t="s">
        <v>126</v>
      </c>
      <c r="H17" s="21"/>
      <c r="I17" s="107">
        <v>45968</v>
      </c>
      <c r="J17" s="108">
        <v>-26052</v>
      </c>
      <c r="K17" s="23" t="s">
        <v>113</v>
      </c>
      <c r="L17" s="23"/>
      <c r="M17" s="23"/>
      <c r="O17" s="20" t="s">
        <v>114</v>
      </c>
      <c r="P17" s="20" t="s">
        <v>115</v>
      </c>
      <c r="Q17" s="19">
        <v>1</v>
      </c>
      <c r="R17" s="59" t="s">
        <v>116</v>
      </c>
      <c r="S17" s="20" t="s">
        <v>113</v>
      </c>
      <c r="U17" s="20" t="s">
        <v>117</v>
      </c>
      <c r="V17" s="19" t="s">
        <v>118</v>
      </c>
      <c r="W17" s="19" t="s">
        <v>119</v>
      </c>
      <c r="X17" s="19" t="s">
        <v>120</v>
      </c>
      <c r="Y17" s="19">
        <v>10041</v>
      </c>
      <c r="Z17" s="19" t="s">
        <v>121</v>
      </c>
      <c r="AA17" s="19" t="s">
        <v>122</v>
      </c>
      <c r="AB17" s="19" t="s">
        <v>123</v>
      </c>
      <c r="AF17" s="19">
        <v>100</v>
      </c>
      <c r="AI17" s="68">
        <v>45938</v>
      </c>
      <c r="AJ17" s="94" t="s">
        <v>124</v>
      </c>
    </row>
    <row r="18" spans="1:36">
      <c r="A18" s="19"/>
      <c r="B18" s="20"/>
      <c r="C18" s="20"/>
      <c r="D18" s="20"/>
      <c r="E18" s="20" t="s">
        <v>110</v>
      </c>
      <c r="F18" s="20" t="s">
        <v>125</v>
      </c>
      <c r="G18" s="22" t="s">
        <v>126</v>
      </c>
      <c r="H18" s="21"/>
      <c r="I18" s="107">
        <v>45971</v>
      </c>
      <c r="J18" s="108">
        <v>-63000</v>
      </c>
      <c r="K18" s="23"/>
      <c r="L18" s="23"/>
      <c r="M18" s="23"/>
      <c r="O18" s="20" t="s">
        <v>114</v>
      </c>
      <c r="P18" s="20" t="s">
        <v>115</v>
      </c>
      <c r="Q18" s="19">
        <v>1</v>
      </c>
      <c r="R18" s="59" t="s">
        <v>116</v>
      </c>
      <c r="S18" s="20" t="s">
        <v>113</v>
      </c>
      <c r="U18" s="20" t="s">
        <v>117</v>
      </c>
      <c r="V18" s="19" t="s">
        <v>118</v>
      </c>
      <c r="W18" s="19" t="s">
        <v>119</v>
      </c>
      <c r="X18" s="19" t="s">
        <v>120</v>
      </c>
      <c r="Y18" s="19">
        <v>10041</v>
      </c>
      <c r="Z18" s="19" t="s">
        <v>121</v>
      </c>
      <c r="AA18" s="19" t="s">
        <v>122</v>
      </c>
      <c r="AB18" s="19" t="s">
        <v>123</v>
      </c>
      <c r="AF18" s="19">
        <v>100</v>
      </c>
      <c r="AI18" s="68">
        <v>45938</v>
      </c>
      <c r="AJ18" s="94" t="s">
        <v>124</v>
      </c>
    </row>
    <row r="19" spans="1:36">
      <c r="A19" s="19"/>
      <c r="B19" s="20"/>
      <c r="C19" s="20"/>
      <c r="D19" s="20"/>
      <c r="E19" s="20" t="s">
        <v>110</v>
      </c>
      <c r="F19" s="20" t="s">
        <v>125</v>
      </c>
      <c r="G19" s="22" t="s">
        <v>126</v>
      </c>
      <c r="H19" s="21"/>
      <c r="I19" s="107">
        <v>45971</v>
      </c>
      <c r="J19" s="108">
        <v>-175000</v>
      </c>
      <c r="K19" s="23"/>
      <c r="L19" s="23"/>
      <c r="M19" s="23"/>
      <c r="O19" s="20" t="s">
        <v>114</v>
      </c>
      <c r="P19" s="20" t="s">
        <v>115</v>
      </c>
      <c r="Q19" s="19">
        <v>1</v>
      </c>
      <c r="R19" s="59" t="s">
        <v>116</v>
      </c>
      <c r="S19" s="20" t="s">
        <v>113</v>
      </c>
      <c r="U19" s="20" t="s">
        <v>117</v>
      </c>
      <c r="V19" s="19" t="s">
        <v>118</v>
      </c>
      <c r="W19" s="19" t="s">
        <v>119</v>
      </c>
      <c r="X19" s="19" t="s">
        <v>120</v>
      </c>
      <c r="Y19" s="19">
        <v>10041</v>
      </c>
      <c r="Z19" s="19" t="s">
        <v>121</v>
      </c>
      <c r="AA19" s="19" t="s">
        <v>122</v>
      </c>
      <c r="AB19" s="19" t="s">
        <v>123</v>
      </c>
      <c r="AF19" s="19">
        <v>100</v>
      </c>
      <c r="AI19" s="68">
        <v>45938</v>
      </c>
      <c r="AJ19" s="94" t="s">
        <v>124</v>
      </c>
    </row>
    <row r="20" spans="1:36">
      <c r="A20" s="19"/>
      <c r="B20" s="20"/>
      <c r="C20" s="20"/>
      <c r="D20" s="20"/>
      <c r="E20" s="20" t="s">
        <v>110</v>
      </c>
      <c r="F20" s="20" t="s">
        <v>125</v>
      </c>
      <c r="G20" s="22" t="s">
        <v>126</v>
      </c>
      <c r="H20" s="21"/>
      <c r="I20" s="107">
        <v>45971</v>
      </c>
      <c r="J20" s="108">
        <v>-203</v>
      </c>
      <c r="K20" s="23"/>
      <c r="L20" s="23"/>
      <c r="M20" s="23"/>
      <c r="O20" s="20" t="s">
        <v>114</v>
      </c>
      <c r="P20" s="20" t="s">
        <v>115</v>
      </c>
      <c r="Q20" s="19">
        <v>1</v>
      </c>
      <c r="R20" s="59" t="s">
        <v>116</v>
      </c>
      <c r="S20" s="20" t="s">
        <v>113</v>
      </c>
      <c r="U20" s="20" t="s">
        <v>117</v>
      </c>
      <c r="V20" s="19" t="s">
        <v>118</v>
      </c>
      <c r="W20" s="19" t="s">
        <v>119</v>
      </c>
      <c r="X20" s="19" t="s">
        <v>120</v>
      </c>
      <c r="Y20" s="19">
        <v>10041</v>
      </c>
      <c r="Z20" s="19" t="s">
        <v>121</v>
      </c>
      <c r="AA20" s="19" t="s">
        <v>122</v>
      </c>
      <c r="AB20" s="19" t="s">
        <v>123</v>
      </c>
      <c r="AF20" s="19">
        <v>100</v>
      </c>
      <c r="AI20" s="68">
        <v>45938</v>
      </c>
      <c r="AJ20" s="94" t="s">
        <v>124</v>
      </c>
    </row>
    <row r="21" spans="1:36">
      <c r="A21" s="19"/>
      <c r="B21" s="20"/>
      <c r="C21" s="20"/>
      <c r="D21" s="20"/>
      <c r="E21" s="20" t="s">
        <v>110</v>
      </c>
      <c r="F21" s="20" t="s">
        <v>125</v>
      </c>
      <c r="G21" s="22" t="s">
        <v>126</v>
      </c>
      <c r="H21" s="21"/>
      <c r="I21" s="107">
        <v>45971</v>
      </c>
      <c r="J21" s="108">
        <v>-45000</v>
      </c>
      <c r="K21" s="23" t="s">
        <v>113</v>
      </c>
      <c r="L21" s="23"/>
      <c r="M21" s="23"/>
      <c r="O21" s="20" t="s">
        <v>114</v>
      </c>
      <c r="P21" s="20" t="s">
        <v>115</v>
      </c>
      <c r="Q21" s="19">
        <v>1</v>
      </c>
      <c r="R21" s="59" t="s">
        <v>116</v>
      </c>
      <c r="S21" s="20" t="s">
        <v>113</v>
      </c>
      <c r="U21" s="20" t="s">
        <v>117</v>
      </c>
      <c r="V21" s="19" t="s">
        <v>118</v>
      </c>
      <c r="W21" s="19" t="s">
        <v>119</v>
      </c>
      <c r="X21" s="19" t="s">
        <v>120</v>
      </c>
      <c r="Y21" s="19">
        <v>10041</v>
      </c>
      <c r="Z21" s="19" t="s">
        <v>121</v>
      </c>
      <c r="AA21" s="19" t="s">
        <v>122</v>
      </c>
      <c r="AB21" s="19" t="s">
        <v>123</v>
      </c>
      <c r="AF21" s="19">
        <v>100</v>
      </c>
      <c r="AI21" s="68">
        <v>45938</v>
      </c>
      <c r="AJ21" s="94" t="s">
        <v>124</v>
      </c>
    </row>
    <row r="22" spans="1:36">
      <c r="A22" s="19"/>
      <c r="B22" s="20"/>
      <c r="C22" s="20"/>
      <c r="D22" s="20"/>
      <c r="E22" s="20" t="s">
        <v>110</v>
      </c>
      <c r="F22" s="20" t="s">
        <v>125</v>
      </c>
      <c r="G22" s="22" t="s">
        <v>126</v>
      </c>
      <c r="H22" s="21"/>
      <c r="I22" s="107">
        <v>45973</v>
      </c>
      <c r="J22" s="108">
        <v>-105000</v>
      </c>
      <c r="K22" s="23"/>
      <c r="L22" s="23"/>
      <c r="M22" s="23"/>
      <c r="O22" s="20" t="s">
        <v>114</v>
      </c>
      <c r="P22" s="20" t="s">
        <v>115</v>
      </c>
      <c r="Q22" s="19">
        <v>1</v>
      </c>
      <c r="R22" s="59" t="s">
        <v>116</v>
      </c>
      <c r="S22" s="20" t="s">
        <v>113</v>
      </c>
      <c r="U22" s="20" t="s">
        <v>117</v>
      </c>
      <c r="V22" s="19" t="s">
        <v>118</v>
      </c>
      <c r="W22" s="19" t="s">
        <v>119</v>
      </c>
      <c r="X22" s="19" t="s">
        <v>120</v>
      </c>
      <c r="Y22" s="19">
        <v>10041</v>
      </c>
      <c r="Z22" s="19" t="s">
        <v>121</v>
      </c>
      <c r="AA22" s="19" t="s">
        <v>122</v>
      </c>
      <c r="AB22" s="19" t="s">
        <v>123</v>
      </c>
      <c r="AF22" s="19">
        <v>100</v>
      </c>
      <c r="AI22" s="68">
        <v>45938</v>
      </c>
      <c r="AJ22" s="94" t="s">
        <v>124</v>
      </c>
    </row>
    <row r="23" spans="1:36">
      <c r="A23" s="19"/>
      <c r="B23" s="20"/>
      <c r="C23" s="20"/>
      <c r="D23" s="20"/>
      <c r="E23" s="20" t="s">
        <v>110</v>
      </c>
      <c r="F23" s="20" t="s">
        <v>125</v>
      </c>
      <c r="G23" s="22" t="s">
        <v>126</v>
      </c>
      <c r="H23" s="21"/>
      <c r="I23" s="107">
        <v>45973</v>
      </c>
      <c r="J23" s="108">
        <v>-70500</v>
      </c>
      <c r="K23" s="23"/>
      <c r="L23" s="23"/>
      <c r="M23" s="23"/>
      <c r="O23" s="20" t="s">
        <v>114</v>
      </c>
      <c r="P23" s="20" t="s">
        <v>115</v>
      </c>
      <c r="Q23" s="19">
        <v>1</v>
      </c>
      <c r="R23" s="59" t="s">
        <v>116</v>
      </c>
      <c r="S23" s="20" t="s">
        <v>113</v>
      </c>
      <c r="U23" s="20" t="s">
        <v>117</v>
      </c>
      <c r="V23" s="19" t="s">
        <v>118</v>
      </c>
      <c r="W23" s="19" t="s">
        <v>119</v>
      </c>
      <c r="X23" s="19" t="s">
        <v>120</v>
      </c>
      <c r="Y23" s="19">
        <v>10041</v>
      </c>
      <c r="Z23" s="19" t="s">
        <v>121</v>
      </c>
      <c r="AA23" s="19" t="s">
        <v>122</v>
      </c>
      <c r="AB23" s="19" t="s">
        <v>123</v>
      </c>
      <c r="AF23" s="19">
        <v>100</v>
      </c>
      <c r="AI23" s="68">
        <v>45938</v>
      </c>
      <c r="AJ23" s="94" t="s">
        <v>124</v>
      </c>
    </row>
    <row r="24" spans="1:36">
      <c r="A24" s="19"/>
      <c r="B24" s="20"/>
      <c r="C24" s="20"/>
      <c r="D24" s="20"/>
      <c r="E24" s="20" t="s">
        <v>110</v>
      </c>
      <c r="F24" s="20" t="s">
        <v>125</v>
      </c>
      <c r="G24" s="22" t="s">
        <v>126</v>
      </c>
      <c r="H24" s="21"/>
      <c r="I24" s="107">
        <v>45973</v>
      </c>
      <c r="J24" s="108">
        <v>-158000</v>
      </c>
      <c r="K24" s="23"/>
      <c r="L24" s="23"/>
      <c r="M24" s="23"/>
      <c r="O24" s="20" t="s">
        <v>114</v>
      </c>
      <c r="P24" s="20" t="s">
        <v>115</v>
      </c>
      <c r="Q24" s="19">
        <v>1</v>
      </c>
      <c r="R24" s="59" t="s">
        <v>116</v>
      </c>
      <c r="S24" s="20" t="s">
        <v>113</v>
      </c>
      <c r="U24" s="20" t="s">
        <v>117</v>
      </c>
      <c r="V24" s="19" t="s">
        <v>118</v>
      </c>
      <c r="W24" s="19" t="s">
        <v>119</v>
      </c>
      <c r="X24" s="19" t="s">
        <v>120</v>
      </c>
      <c r="Y24" s="19">
        <v>10041</v>
      </c>
      <c r="Z24" s="19" t="s">
        <v>121</v>
      </c>
      <c r="AA24" s="19" t="s">
        <v>122</v>
      </c>
      <c r="AB24" s="19" t="s">
        <v>123</v>
      </c>
      <c r="AF24" s="19">
        <v>100</v>
      </c>
      <c r="AI24" s="68">
        <v>45938</v>
      </c>
      <c r="AJ24" s="94" t="s">
        <v>124</v>
      </c>
    </row>
    <row r="25" spans="1:36">
      <c r="A25" s="19"/>
      <c r="B25" s="20"/>
      <c r="C25" s="20"/>
      <c r="D25" s="20"/>
      <c r="E25" s="20" t="s">
        <v>110</v>
      </c>
      <c r="F25" s="20" t="s">
        <v>125</v>
      </c>
      <c r="G25" s="22" t="s">
        <v>126</v>
      </c>
      <c r="H25" s="21"/>
      <c r="I25" s="107">
        <v>45973</v>
      </c>
      <c r="J25" s="108">
        <v>-355380</v>
      </c>
      <c r="K25" s="23" t="s">
        <v>113</v>
      </c>
      <c r="L25" s="23"/>
      <c r="M25" s="23"/>
      <c r="O25" s="20" t="s">
        <v>114</v>
      </c>
      <c r="P25" s="20" t="s">
        <v>115</v>
      </c>
      <c r="Q25" s="19">
        <v>1</v>
      </c>
      <c r="R25" s="59" t="s">
        <v>116</v>
      </c>
      <c r="S25" s="20" t="s">
        <v>113</v>
      </c>
      <c r="U25" s="20" t="s">
        <v>117</v>
      </c>
      <c r="V25" s="19" t="s">
        <v>118</v>
      </c>
      <c r="W25" s="19" t="s">
        <v>119</v>
      </c>
      <c r="X25" s="19" t="s">
        <v>120</v>
      </c>
      <c r="Y25" s="19">
        <v>10041</v>
      </c>
      <c r="Z25" s="19" t="s">
        <v>121</v>
      </c>
      <c r="AA25" s="19" t="s">
        <v>122</v>
      </c>
      <c r="AB25" s="19" t="s">
        <v>123</v>
      </c>
      <c r="AF25" s="19">
        <v>100</v>
      </c>
      <c r="AI25" s="68">
        <v>45938</v>
      </c>
      <c r="AJ25" s="94" t="s">
        <v>124</v>
      </c>
    </row>
    <row r="26" spans="1:36">
      <c r="A26" s="19"/>
      <c r="B26" s="20"/>
      <c r="C26" s="20"/>
      <c r="D26" s="20"/>
      <c r="E26" s="20" t="s">
        <v>110</v>
      </c>
      <c r="F26" s="20" t="s">
        <v>125</v>
      </c>
      <c r="G26" s="22" t="s">
        <v>126</v>
      </c>
      <c r="H26" s="21"/>
      <c r="I26" s="107">
        <v>45974</v>
      </c>
      <c r="J26" s="108">
        <v>-35700</v>
      </c>
      <c r="K26" s="23"/>
      <c r="L26" s="23"/>
      <c r="M26" s="23"/>
      <c r="O26" s="20" t="s">
        <v>114</v>
      </c>
      <c r="P26" s="20" t="s">
        <v>115</v>
      </c>
      <c r="Q26" s="19">
        <v>1</v>
      </c>
      <c r="R26" s="59" t="s">
        <v>116</v>
      </c>
      <c r="S26" s="20" t="s">
        <v>113</v>
      </c>
      <c r="U26" s="20" t="s">
        <v>117</v>
      </c>
      <c r="V26" s="19" t="s">
        <v>118</v>
      </c>
      <c r="W26" s="19" t="s">
        <v>119</v>
      </c>
      <c r="X26" s="19" t="s">
        <v>120</v>
      </c>
      <c r="Y26" s="19">
        <v>10041</v>
      </c>
      <c r="Z26" s="19" t="s">
        <v>121</v>
      </c>
      <c r="AA26" s="19" t="s">
        <v>122</v>
      </c>
      <c r="AB26" s="19" t="s">
        <v>123</v>
      </c>
      <c r="AF26" s="19">
        <v>100</v>
      </c>
      <c r="AI26" s="68">
        <v>45938</v>
      </c>
      <c r="AJ26" s="94" t="s">
        <v>124</v>
      </c>
    </row>
    <row r="27" spans="1:36">
      <c r="A27" s="19"/>
      <c r="B27" s="20"/>
      <c r="C27" s="20"/>
      <c r="D27" s="20"/>
      <c r="E27" s="20" t="s">
        <v>110</v>
      </c>
      <c r="F27" s="20" t="s">
        <v>125</v>
      </c>
      <c r="G27" s="22" t="s">
        <v>126</v>
      </c>
      <c r="H27" s="21"/>
      <c r="I27" s="107">
        <v>45974</v>
      </c>
      <c r="J27" s="108">
        <v>-62850</v>
      </c>
      <c r="K27" s="23"/>
      <c r="L27" s="23"/>
      <c r="M27" s="23"/>
      <c r="O27" s="20" t="s">
        <v>114</v>
      </c>
      <c r="P27" s="20" t="s">
        <v>115</v>
      </c>
      <c r="Q27" s="19">
        <v>1</v>
      </c>
      <c r="R27" s="59" t="s">
        <v>116</v>
      </c>
      <c r="S27" s="20" t="s">
        <v>113</v>
      </c>
      <c r="U27" s="20" t="s">
        <v>117</v>
      </c>
      <c r="V27" s="19" t="s">
        <v>118</v>
      </c>
      <c r="W27" s="19" t="s">
        <v>119</v>
      </c>
      <c r="X27" s="19" t="s">
        <v>120</v>
      </c>
      <c r="Y27" s="19">
        <v>10041</v>
      </c>
      <c r="Z27" s="19" t="s">
        <v>121</v>
      </c>
      <c r="AA27" s="19" t="s">
        <v>122</v>
      </c>
      <c r="AB27" s="19" t="s">
        <v>123</v>
      </c>
      <c r="AF27" s="19">
        <v>100</v>
      </c>
      <c r="AI27" s="68">
        <v>45938</v>
      </c>
      <c r="AJ27" s="94" t="s">
        <v>124</v>
      </c>
    </row>
    <row r="28" spans="1:36">
      <c r="A28" s="19"/>
      <c r="B28" s="20"/>
      <c r="C28" s="20"/>
      <c r="D28" s="20"/>
      <c r="E28" s="20" t="s">
        <v>110</v>
      </c>
      <c r="F28" s="20" t="s">
        <v>125</v>
      </c>
      <c r="G28" s="22" t="s">
        <v>126</v>
      </c>
      <c r="H28" s="21"/>
      <c r="I28" s="107">
        <v>45974</v>
      </c>
      <c r="J28" s="108">
        <v>-25800</v>
      </c>
      <c r="K28" s="23"/>
      <c r="L28" s="23"/>
      <c r="M28" s="23"/>
      <c r="O28" s="20" t="s">
        <v>114</v>
      </c>
      <c r="P28" s="20" t="s">
        <v>115</v>
      </c>
      <c r="Q28" s="19">
        <v>1</v>
      </c>
      <c r="R28" s="59" t="s">
        <v>116</v>
      </c>
      <c r="S28" s="20" t="s">
        <v>113</v>
      </c>
      <c r="U28" s="20" t="s">
        <v>117</v>
      </c>
      <c r="V28" s="19" t="s">
        <v>118</v>
      </c>
      <c r="W28" s="19" t="s">
        <v>119</v>
      </c>
      <c r="X28" s="19" t="s">
        <v>120</v>
      </c>
      <c r="Y28" s="19">
        <v>10041</v>
      </c>
      <c r="Z28" s="19" t="s">
        <v>121</v>
      </c>
      <c r="AA28" s="19" t="s">
        <v>122</v>
      </c>
      <c r="AB28" s="19" t="s">
        <v>123</v>
      </c>
      <c r="AF28" s="19">
        <v>100</v>
      </c>
      <c r="AI28" s="68">
        <v>45938</v>
      </c>
      <c r="AJ28" s="94" t="s">
        <v>124</v>
      </c>
    </row>
    <row r="29" spans="1:36">
      <c r="A29" s="19"/>
      <c r="B29" s="20"/>
      <c r="C29" s="20"/>
      <c r="D29" s="20"/>
      <c r="E29" s="20" t="s">
        <v>110</v>
      </c>
      <c r="F29" s="20" t="s">
        <v>125</v>
      </c>
      <c r="G29" s="22" t="s">
        <v>126</v>
      </c>
      <c r="H29" s="21"/>
      <c r="I29" s="107">
        <v>45974</v>
      </c>
      <c r="J29" s="108">
        <v>-1164</v>
      </c>
      <c r="K29" s="23"/>
      <c r="L29" s="23"/>
      <c r="M29" s="23"/>
      <c r="O29" s="20" t="s">
        <v>114</v>
      </c>
      <c r="P29" s="20" t="s">
        <v>115</v>
      </c>
      <c r="Q29" s="19">
        <v>1</v>
      </c>
      <c r="R29" s="59" t="s">
        <v>116</v>
      </c>
      <c r="S29" s="20" t="s">
        <v>113</v>
      </c>
      <c r="U29" s="20" t="s">
        <v>117</v>
      </c>
      <c r="V29" s="19" t="s">
        <v>118</v>
      </c>
      <c r="W29" s="19" t="s">
        <v>119</v>
      </c>
      <c r="X29" s="19" t="s">
        <v>120</v>
      </c>
      <c r="Y29" s="19">
        <v>10041</v>
      </c>
      <c r="Z29" s="19" t="s">
        <v>121</v>
      </c>
      <c r="AA29" s="19" t="s">
        <v>122</v>
      </c>
      <c r="AB29" s="19" t="s">
        <v>123</v>
      </c>
      <c r="AF29" s="19">
        <v>100</v>
      </c>
      <c r="AI29" s="68">
        <v>45938</v>
      </c>
      <c r="AJ29" s="94" t="s">
        <v>124</v>
      </c>
    </row>
    <row r="30" spans="1:36">
      <c r="A30" s="19"/>
      <c r="B30" s="20"/>
      <c r="C30" s="20"/>
      <c r="D30" s="20"/>
      <c r="E30" s="20" t="s">
        <v>110</v>
      </c>
      <c r="F30" s="20" t="s">
        <v>125</v>
      </c>
      <c r="G30" s="22" t="s">
        <v>126</v>
      </c>
      <c r="H30" s="21"/>
      <c r="I30" s="107">
        <v>45974</v>
      </c>
      <c r="J30" s="108">
        <v>-16303</v>
      </c>
      <c r="K30" s="23" t="s">
        <v>113</v>
      </c>
      <c r="L30" s="23"/>
      <c r="M30" s="23"/>
      <c r="O30" s="20" t="s">
        <v>114</v>
      </c>
      <c r="P30" s="20" t="s">
        <v>115</v>
      </c>
      <c r="Q30" s="19">
        <v>1</v>
      </c>
      <c r="R30" s="59" t="s">
        <v>116</v>
      </c>
      <c r="S30" s="20" t="s">
        <v>113</v>
      </c>
      <c r="U30" s="20" t="s">
        <v>117</v>
      </c>
      <c r="V30" s="19" t="s">
        <v>118</v>
      </c>
      <c r="W30" s="19" t="s">
        <v>119</v>
      </c>
      <c r="X30" s="19" t="s">
        <v>120</v>
      </c>
      <c r="Y30" s="19">
        <v>10041</v>
      </c>
      <c r="Z30" s="19" t="s">
        <v>121</v>
      </c>
      <c r="AA30" s="19" t="s">
        <v>122</v>
      </c>
      <c r="AB30" s="19" t="s">
        <v>123</v>
      </c>
      <c r="AF30" s="19">
        <v>100</v>
      </c>
      <c r="AI30" s="68">
        <v>45938</v>
      </c>
      <c r="AJ30" s="94" t="s">
        <v>124</v>
      </c>
    </row>
    <row r="31" spans="1:36">
      <c r="A31" s="19"/>
      <c r="B31" s="20"/>
      <c r="C31" s="20"/>
      <c r="D31" s="20"/>
      <c r="E31" s="20" t="s">
        <v>110</v>
      </c>
      <c r="F31" s="20" t="s">
        <v>125</v>
      </c>
      <c r="G31" s="22" t="s">
        <v>126</v>
      </c>
      <c r="H31" s="21"/>
      <c r="I31" s="107">
        <v>45975</v>
      </c>
      <c r="J31" s="108">
        <v>-91162</v>
      </c>
      <c r="K31" s="23"/>
      <c r="L31" s="23"/>
      <c r="M31" s="23"/>
      <c r="O31" s="20" t="s">
        <v>114</v>
      </c>
      <c r="P31" s="20" t="s">
        <v>115</v>
      </c>
      <c r="Q31" s="19">
        <v>1</v>
      </c>
      <c r="R31" s="59" t="s">
        <v>116</v>
      </c>
      <c r="S31" s="20" t="s">
        <v>113</v>
      </c>
      <c r="U31" s="20" t="s">
        <v>117</v>
      </c>
      <c r="V31" s="19" t="s">
        <v>118</v>
      </c>
      <c r="W31" s="19" t="s">
        <v>119</v>
      </c>
      <c r="X31" s="19" t="s">
        <v>120</v>
      </c>
      <c r="Y31" s="19">
        <v>10041</v>
      </c>
      <c r="Z31" s="19" t="s">
        <v>121</v>
      </c>
      <c r="AA31" s="19" t="s">
        <v>122</v>
      </c>
      <c r="AB31" s="19" t="s">
        <v>123</v>
      </c>
      <c r="AF31" s="19">
        <v>100</v>
      </c>
      <c r="AI31" s="68">
        <v>45938</v>
      </c>
      <c r="AJ31" s="94" t="s">
        <v>124</v>
      </c>
    </row>
    <row r="32" spans="1:36">
      <c r="A32" s="19"/>
      <c r="B32" s="20"/>
      <c r="C32" s="20"/>
      <c r="D32" s="20"/>
      <c r="E32" s="20" t="s">
        <v>110</v>
      </c>
      <c r="F32" s="20" t="s">
        <v>125</v>
      </c>
      <c r="G32" s="22" t="s">
        <v>126</v>
      </c>
      <c r="H32" s="21"/>
      <c r="I32" s="107">
        <v>45975</v>
      </c>
      <c r="J32" s="108">
        <v>-16500</v>
      </c>
      <c r="K32" s="23"/>
      <c r="L32" s="23"/>
      <c r="M32" s="23"/>
      <c r="O32" s="20" t="s">
        <v>114</v>
      </c>
      <c r="P32" s="20" t="s">
        <v>115</v>
      </c>
      <c r="Q32" s="19">
        <v>1</v>
      </c>
      <c r="R32" s="59" t="s">
        <v>116</v>
      </c>
      <c r="S32" s="20" t="s">
        <v>113</v>
      </c>
      <c r="U32" s="20" t="s">
        <v>117</v>
      </c>
      <c r="V32" s="19" t="s">
        <v>118</v>
      </c>
      <c r="W32" s="19" t="s">
        <v>119</v>
      </c>
      <c r="X32" s="19" t="s">
        <v>120</v>
      </c>
      <c r="Y32" s="19">
        <v>10041</v>
      </c>
      <c r="Z32" s="19" t="s">
        <v>121</v>
      </c>
      <c r="AA32" s="19" t="s">
        <v>122</v>
      </c>
      <c r="AB32" s="19" t="s">
        <v>123</v>
      </c>
      <c r="AF32" s="19">
        <v>100</v>
      </c>
      <c r="AI32" s="68">
        <v>45938</v>
      </c>
      <c r="AJ32" s="94" t="s">
        <v>124</v>
      </c>
    </row>
    <row r="33" spans="1:36">
      <c r="A33" s="19"/>
      <c r="B33" s="20"/>
      <c r="C33" s="20"/>
      <c r="D33" s="20"/>
      <c r="E33" s="20" t="s">
        <v>110</v>
      </c>
      <c r="F33" s="20" t="s">
        <v>125</v>
      </c>
      <c r="G33" s="22" t="s">
        <v>126</v>
      </c>
      <c r="H33" s="21"/>
      <c r="I33" s="107">
        <v>45975</v>
      </c>
      <c r="J33" s="108">
        <v>-9150</v>
      </c>
      <c r="K33" s="23" t="s">
        <v>113</v>
      </c>
      <c r="L33" s="23"/>
      <c r="M33" s="23"/>
      <c r="O33" s="20" t="s">
        <v>114</v>
      </c>
      <c r="P33" s="20" t="s">
        <v>115</v>
      </c>
      <c r="Q33" s="19">
        <v>1</v>
      </c>
      <c r="R33" s="59" t="s">
        <v>116</v>
      </c>
      <c r="S33" s="20" t="s">
        <v>113</v>
      </c>
      <c r="U33" s="20" t="s">
        <v>117</v>
      </c>
      <c r="V33" s="19" t="s">
        <v>118</v>
      </c>
      <c r="W33" s="19" t="s">
        <v>119</v>
      </c>
      <c r="X33" s="19" t="s">
        <v>120</v>
      </c>
      <c r="Y33" s="19">
        <v>10041</v>
      </c>
      <c r="Z33" s="19" t="s">
        <v>121</v>
      </c>
      <c r="AA33" s="19" t="s">
        <v>122</v>
      </c>
      <c r="AB33" s="19" t="s">
        <v>123</v>
      </c>
      <c r="AF33" s="19">
        <v>100</v>
      </c>
      <c r="AI33" s="68">
        <v>45938</v>
      </c>
      <c r="AJ33" s="94" t="s">
        <v>124</v>
      </c>
    </row>
    <row r="34" spans="1:36">
      <c r="A34" s="19"/>
      <c r="B34" s="20"/>
      <c r="C34" s="20"/>
      <c r="D34" s="20"/>
      <c r="E34" s="20" t="s">
        <v>110</v>
      </c>
      <c r="F34" s="20" t="s">
        <v>125</v>
      </c>
      <c r="G34" s="22" t="s">
        <v>126</v>
      </c>
      <c r="H34" s="21"/>
      <c r="I34" s="107">
        <v>45978</v>
      </c>
      <c r="J34" s="108">
        <v>-13838</v>
      </c>
      <c r="K34" s="23" t="s">
        <v>113</v>
      </c>
      <c r="L34" s="23"/>
      <c r="M34" s="23"/>
      <c r="O34" s="20" t="s">
        <v>114</v>
      </c>
      <c r="P34" s="20" t="s">
        <v>115</v>
      </c>
      <c r="Q34" s="19">
        <v>1</v>
      </c>
      <c r="R34" s="59" t="s">
        <v>116</v>
      </c>
      <c r="S34" s="20" t="s">
        <v>113</v>
      </c>
      <c r="U34" s="20" t="s">
        <v>117</v>
      </c>
      <c r="V34" s="19" t="s">
        <v>118</v>
      </c>
      <c r="W34" s="19" t="s">
        <v>119</v>
      </c>
      <c r="X34" s="19" t="s">
        <v>120</v>
      </c>
      <c r="Y34" s="19">
        <v>10041</v>
      </c>
      <c r="Z34" s="19" t="s">
        <v>121</v>
      </c>
      <c r="AA34" s="19" t="s">
        <v>122</v>
      </c>
      <c r="AB34" s="19" t="s">
        <v>123</v>
      </c>
      <c r="AF34" s="19">
        <v>100</v>
      </c>
      <c r="AI34" s="68">
        <v>45938</v>
      </c>
      <c r="AJ34" s="94" t="s">
        <v>124</v>
      </c>
    </row>
    <row r="35" spans="1:36">
      <c r="A35" s="19"/>
      <c r="B35" s="20"/>
      <c r="C35" s="20"/>
      <c r="D35" s="20"/>
      <c r="E35" s="20" t="s">
        <v>110</v>
      </c>
      <c r="F35" s="20" t="s">
        <v>125</v>
      </c>
      <c r="G35" s="22" t="s">
        <v>126</v>
      </c>
      <c r="H35" s="21"/>
      <c r="I35" s="107">
        <v>45979</v>
      </c>
      <c r="J35" s="108">
        <v>-19810</v>
      </c>
      <c r="K35" s="23"/>
      <c r="L35" s="23"/>
      <c r="M35" s="23"/>
      <c r="O35" s="20" t="s">
        <v>114</v>
      </c>
      <c r="P35" s="20" t="s">
        <v>115</v>
      </c>
      <c r="Q35" s="19">
        <v>1</v>
      </c>
      <c r="R35" s="59" t="s">
        <v>116</v>
      </c>
      <c r="S35" s="20" t="s">
        <v>113</v>
      </c>
      <c r="U35" s="20" t="s">
        <v>117</v>
      </c>
      <c r="V35" s="19" t="s">
        <v>118</v>
      </c>
      <c r="W35" s="19" t="s">
        <v>119</v>
      </c>
      <c r="X35" s="19" t="s">
        <v>120</v>
      </c>
      <c r="Y35" s="19">
        <v>10041</v>
      </c>
      <c r="Z35" s="19" t="s">
        <v>121</v>
      </c>
      <c r="AA35" s="19" t="s">
        <v>122</v>
      </c>
      <c r="AB35" s="19" t="s">
        <v>123</v>
      </c>
      <c r="AF35" s="19">
        <v>100</v>
      </c>
      <c r="AI35" s="68">
        <v>45938</v>
      </c>
      <c r="AJ35" s="94" t="s">
        <v>124</v>
      </c>
    </row>
    <row r="36" spans="1:36">
      <c r="A36" s="19"/>
      <c r="B36" s="20"/>
      <c r="C36" s="20"/>
      <c r="D36" s="20"/>
      <c r="E36" s="20" t="s">
        <v>110</v>
      </c>
      <c r="F36" s="20" t="s">
        <v>125</v>
      </c>
      <c r="G36" s="22" t="s">
        <v>126</v>
      </c>
      <c r="H36" s="21"/>
      <c r="I36" s="107">
        <v>45979</v>
      </c>
      <c r="J36" s="108">
        <v>-152810</v>
      </c>
      <c r="K36" s="23" t="s">
        <v>113</v>
      </c>
      <c r="L36" s="23"/>
      <c r="M36" s="23"/>
      <c r="O36" s="20" t="s">
        <v>114</v>
      </c>
      <c r="P36" s="20" t="s">
        <v>115</v>
      </c>
      <c r="Q36" s="19">
        <v>1</v>
      </c>
      <c r="R36" s="59" t="s">
        <v>116</v>
      </c>
      <c r="S36" s="20" t="s">
        <v>113</v>
      </c>
      <c r="U36" s="20" t="s">
        <v>117</v>
      </c>
      <c r="V36" s="19" t="s">
        <v>118</v>
      </c>
      <c r="W36" s="19" t="s">
        <v>119</v>
      </c>
      <c r="X36" s="19" t="s">
        <v>120</v>
      </c>
      <c r="Y36" s="19">
        <v>10041</v>
      </c>
      <c r="Z36" s="19" t="s">
        <v>121</v>
      </c>
      <c r="AA36" s="19" t="s">
        <v>122</v>
      </c>
      <c r="AB36" s="19" t="s">
        <v>123</v>
      </c>
      <c r="AF36" s="19">
        <v>100</v>
      </c>
      <c r="AI36" s="68">
        <v>45938</v>
      </c>
      <c r="AJ36" s="94" t="s">
        <v>124</v>
      </c>
    </row>
    <row r="37" spans="1:36">
      <c r="A37" s="19"/>
      <c r="B37" s="20"/>
      <c r="C37" s="20"/>
      <c r="D37" s="20"/>
      <c r="E37" s="20" t="s">
        <v>110</v>
      </c>
      <c r="F37" s="20" t="s">
        <v>125</v>
      </c>
      <c r="G37" s="22" t="s">
        <v>126</v>
      </c>
      <c r="H37" s="21"/>
      <c r="I37" s="107">
        <v>45980</v>
      </c>
      <c r="J37" s="108">
        <v>-279160</v>
      </c>
      <c r="K37" s="23"/>
      <c r="L37" s="23"/>
      <c r="M37" s="23"/>
      <c r="O37" s="20" t="s">
        <v>114</v>
      </c>
      <c r="P37" s="20" t="s">
        <v>115</v>
      </c>
      <c r="Q37" s="19">
        <v>1</v>
      </c>
      <c r="R37" s="59" t="s">
        <v>116</v>
      </c>
      <c r="S37" s="20" t="s">
        <v>113</v>
      </c>
      <c r="U37" s="20" t="s">
        <v>117</v>
      </c>
      <c r="V37" s="19" t="s">
        <v>118</v>
      </c>
      <c r="W37" s="19" t="s">
        <v>119</v>
      </c>
      <c r="X37" s="19" t="s">
        <v>120</v>
      </c>
      <c r="Y37" s="19">
        <v>10041</v>
      </c>
      <c r="Z37" s="19" t="s">
        <v>121</v>
      </c>
      <c r="AA37" s="19" t="s">
        <v>122</v>
      </c>
      <c r="AB37" s="19" t="s">
        <v>123</v>
      </c>
      <c r="AF37" s="19">
        <v>100</v>
      </c>
      <c r="AI37" s="68">
        <v>45938</v>
      </c>
      <c r="AJ37" s="94" t="s">
        <v>124</v>
      </c>
    </row>
    <row r="38" spans="1:36">
      <c r="A38" s="19"/>
      <c r="B38" s="20"/>
      <c r="C38" s="20"/>
      <c r="D38" s="20"/>
      <c r="E38" s="20" t="s">
        <v>110</v>
      </c>
      <c r="F38" s="20" t="s">
        <v>125</v>
      </c>
      <c r="G38" s="22" t="s">
        <v>126</v>
      </c>
      <c r="H38" s="21"/>
      <c r="I38" s="107">
        <v>45980</v>
      </c>
      <c r="J38" s="108">
        <v>-560</v>
      </c>
      <c r="K38" s="23"/>
      <c r="L38" s="23"/>
      <c r="M38" s="23"/>
      <c r="O38" s="20" t="s">
        <v>114</v>
      </c>
      <c r="P38" s="20" t="s">
        <v>115</v>
      </c>
      <c r="Q38" s="19">
        <v>1</v>
      </c>
      <c r="R38" s="59" t="s">
        <v>116</v>
      </c>
      <c r="S38" s="20" t="s">
        <v>113</v>
      </c>
      <c r="U38" s="20" t="s">
        <v>117</v>
      </c>
      <c r="V38" s="19" t="s">
        <v>118</v>
      </c>
      <c r="W38" s="19" t="s">
        <v>119</v>
      </c>
      <c r="X38" s="19" t="s">
        <v>120</v>
      </c>
      <c r="Y38" s="19">
        <v>10041</v>
      </c>
      <c r="Z38" s="19" t="s">
        <v>121</v>
      </c>
      <c r="AA38" s="19" t="s">
        <v>122</v>
      </c>
      <c r="AB38" s="19" t="s">
        <v>123</v>
      </c>
      <c r="AF38" s="19">
        <v>100</v>
      </c>
      <c r="AI38" s="68">
        <v>45938</v>
      </c>
      <c r="AJ38" s="94" t="s">
        <v>124</v>
      </c>
    </row>
    <row r="39" spans="1:36">
      <c r="A39" s="19"/>
      <c r="B39" s="20"/>
      <c r="C39" s="20"/>
      <c r="D39" s="20"/>
      <c r="E39" s="20" t="s">
        <v>110</v>
      </c>
      <c r="F39" s="20" t="s">
        <v>125</v>
      </c>
      <c r="G39" s="22" t="s">
        <v>126</v>
      </c>
      <c r="H39" s="21"/>
      <c r="I39" s="107">
        <v>45980</v>
      </c>
      <c r="J39" s="108">
        <v>-245840</v>
      </c>
      <c r="K39" s="23" t="s">
        <v>113</v>
      </c>
      <c r="L39" s="23"/>
      <c r="M39" s="23"/>
      <c r="O39" s="20" t="s">
        <v>114</v>
      </c>
      <c r="P39" s="20" t="s">
        <v>115</v>
      </c>
      <c r="Q39" s="19">
        <v>1</v>
      </c>
      <c r="R39" s="59" t="s">
        <v>116</v>
      </c>
      <c r="S39" s="20" t="s">
        <v>113</v>
      </c>
      <c r="U39" s="20" t="s">
        <v>117</v>
      </c>
      <c r="V39" s="19" t="s">
        <v>118</v>
      </c>
      <c r="W39" s="19" t="s">
        <v>119</v>
      </c>
      <c r="X39" s="19" t="s">
        <v>120</v>
      </c>
      <c r="Y39" s="19">
        <v>10041</v>
      </c>
      <c r="Z39" s="19" t="s">
        <v>121</v>
      </c>
      <c r="AA39" s="19" t="s">
        <v>122</v>
      </c>
      <c r="AB39" s="19" t="s">
        <v>123</v>
      </c>
      <c r="AF39" s="19">
        <v>100</v>
      </c>
      <c r="AI39" s="68">
        <v>45938</v>
      </c>
      <c r="AJ39" s="94" t="s">
        <v>124</v>
      </c>
    </row>
    <row r="40" spans="1:36">
      <c r="A40" s="19"/>
      <c r="B40" s="20"/>
      <c r="C40" s="20"/>
      <c r="D40" s="20"/>
      <c r="E40" s="20" t="s">
        <v>110</v>
      </c>
      <c r="F40" s="20" t="s">
        <v>125</v>
      </c>
      <c r="G40" s="22" t="s">
        <v>126</v>
      </c>
      <c r="H40" s="21"/>
      <c r="I40" s="107">
        <v>45981</v>
      </c>
      <c r="J40" s="108">
        <v>-141820</v>
      </c>
      <c r="K40" s="23"/>
      <c r="L40" s="23"/>
      <c r="M40" s="23"/>
      <c r="O40" s="20" t="s">
        <v>114</v>
      </c>
      <c r="P40" s="20" t="s">
        <v>115</v>
      </c>
      <c r="Q40" s="19">
        <v>1</v>
      </c>
      <c r="R40" s="59" t="s">
        <v>116</v>
      </c>
      <c r="S40" s="20" t="s">
        <v>113</v>
      </c>
      <c r="U40" s="20" t="s">
        <v>117</v>
      </c>
      <c r="V40" s="19" t="s">
        <v>118</v>
      </c>
      <c r="W40" s="19" t="s">
        <v>119</v>
      </c>
      <c r="X40" s="19" t="s">
        <v>120</v>
      </c>
      <c r="Y40" s="19">
        <v>10041</v>
      </c>
      <c r="Z40" s="19" t="s">
        <v>121</v>
      </c>
      <c r="AA40" s="19" t="s">
        <v>122</v>
      </c>
      <c r="AB40" s="19" t="s">
        <v>123</v>
      </c>
      <c r="AF40" s="19">
        <v>100</v>
      </c>
      <c r="AI40" s="68">
        <v>45938</v>
      </c>
      <c r="AJ40" s="94" t="s">
        <v>124</v>
      </c>
    </row>
    <row r="41" spans="1:36">
      <c r="A41" s="19"/>
      <c r="B41" s="20"/>
      <c r="C41" s="20"/>
      <c r="D41" s="20"/>
      <c r="E41" s="20" t="s">
        <v>110</v>
      </c>
      <c r="F41" s="20" t="s">
        <v>125</v>
      </c>
      <c r="G41" s="22" t="s">
        <v>126</v>
      </c>
      <c r="H41" s="21"/>
      <c r="I41" s="107">
        <v>45981</v>
      </c>
      <c r="J41" s="108">
        <v>-420000</v>
      </c>
      <c r="K41" s="23" t="s">
        <v>113</v>
      </c>
      <c r="L41" s="23"/>
      <c r="M41" s="23"/>
      <c r="O41" s="20" t="s">
        <v>114</v>
      </c>
      <c r="P41" s="20" t="s">
        <v>115</v>
      </c>
      <c r="Q41" s="19">
        <v>1</v>
      </c>
      <c r="R41" s="59" t="s">
        <v>116</v>
      </c>
      <c r="S41" s="20" t="s">
        <v>113</v>
      </c>
      <c r="U41" s="20" t="s">
        <v>117</v>
      </c>
      <c r="V41" s="19" t="s">
        <v>118</v>
      </c>
      <c r="W41" s="19" t="s">
        <v>119</v>
      </c>
      <c r="X41" s="19" t="s">
        <v>120</v>
      </c>
      <c r="Y41" s="19">
        <v>10041</v>
      </c>
      <c r="Z41" s="19" t="s">
        <v>121</v>
      </c>
      <c r="AA41" s="19" t="s">
        <v>122</v>
      </c>
      <c r="AB41" s="19" t="s">
        <v>123</v>
      </c>
      <c r="AF41" s="19">
        <v>100</v>
      </c>
      <c r="AI41" s="68">
        <v>45938</v>
      </c>
      <c r="AJ41" s="94" t="s">
        <v>124</v>
      </c>
    </row>
    <row r="42" spans="1:36">
      <c r="A42" s="19"/>
      <c r="B42" s="20"/>
      <c r="C42" s="20"/>
      <c r="D42" s="20"/>
      <c r="E42" s="20" t="s">
        <v>110</v>
      </c>
      <c r="F42" s="20" t="s">
        <v>125</v>
      </c>
      <c r="G42" s="22" t="s">
        <v>126</v>
      </c>
      <c r="H42" s="21"/>
      <c r="I42" s="107">
        <v>45982</v>
      </c>
      <c r="J42" s="108">
        <v>-10000</v>
      </c>
      <c r="K42" s="23" t="s">
        <v>113</v>
      </c>
      <c r="L42" s="23"/>
      <c r="M42" s="23"/>
      <c r="O42" s="20" t="s">
        <v>114</v>
      </c>
      <c r="P42" s="20" t="s">
        <v>115</v>
      </c>
      <c r="Q42" s="19">
        <v>1</v>
      </c>
      <c r="R42" s="59" t="s">
        <v>116</v>
      </c>
      <c r="S42" s="20" t="s">
        <v>113</v>
      </c>
      <c r="U42" s="20" t="s">
        <v>117</v>
      </c>
      <c r="V42" s="19" t="s">
        <v>118</v>
      </c>
      <c r="W42" s="19" t="s">
        <v>119</v>
      </c>
      <c r="X42" s="19" t="s">
        <v>120</v>
      </c>
      <c r="Y42" s="19">
        <v>10041</v>
      </c>
      <c r="Z42" s="19" t="s">
        <v>121</v>
      </c>
      <c r="AA42" s="19" t="s">
        <v>122</v>
      </c>
      <c r="AB42" s="19" t="s">
        <v>123</v>
      </c>
      <c r="AF42" s="19">
        <v>100</v>
      </c>
      <c r="AI42" s="68">
        <v>45938</v>
      </c>
      <c r="AJ42" s="94" t="s">
        <v>124</v>
      </c>
    </row>
    <row r="43" spans="1:36">
      <c r="A43" s="19"/>
      <c r="B43" s="20"/>
      <c r="C43" s="20"/>
      <c r="D43" s="20"/>
      <c r="E43" s="20" t="s">
        <v>110</v>
      </c>
      <c r="F43" s="20" t="s">
        <v>125</v>
      </c>
      <c r="G43" s="22" t="s">
        <v>126</v>
      </c>
      <c r="H43" s="21"/>
      <c r="I43" s="107">
        <v>45987</v>
      </c>
      <c r="J43" s="108">
        <v>-1000</v>
      </c>
      <c r="K43" s="23" t="s">
        <v>113</v>
      </c>
      <c r="L43" s="23"/>
      <c r="M43" s="23"/>
      <c r="O43" s="20" t="s">
        <v>114</v>
      </c>
      <c r="P43" s="20" t="s">
        <v>115</v>
      </c>
      <c r="Q43" s="19">
        <v>1</v>
      </c>
      <c r="R43" s="59" t="s">
        <v>116</v>
      </c>
      <c r="S43" s="20" t="s">
        <v>113</v>
      </c>
      <c r="U43" s="20" t="s">
        <v>117</v>
      </c>
      <c r="V43" s="19" t="s">
        <v>118</v>
      </c>
      <c r="W43" s="19" t="s">
        <v>119</v>
      </c>
      <c r="X43" s="19" t="s">
        <v>120</v>
      </c>
      <c r="Y43" s="19">
        <v>10041</v>
      </c>
      <c r="Z43" s="19" t="s">
        <v>121</v>
      </c>
      <c r="AA43" s="19" t="s">
        <v>122</v>
      </c>
      <c r="AB43" s="19" t="s">
        <v>123</v>
      </c>
      <c r="AF43" s="19">
        <v>100</v>
      </c>
      <c r="AI43" s="68">
        <v>45938</v>
      </c>
      <c r="AJ43" s="94" t="s">
        <v>124</v>
      </c>
    </row>
    <row r="44" spans="1:36">
      <c r="A44" s="19"/>
      <c r="B44" s="20"/>
      <c r="C44" s="20"/>
      <c r="D44" s="20"/>
      <c r="E44" s="20" t="s">
        <v>110</v>
      </c>
      <c r="F44" s="20" t="s">
        <v>125</v>
      </c>
      <c r="G44" s="22" t="s">
        <v>126</v>
      </c>
      <c r="H44" s="21"/>
      <c r="I44" s="107">
        <v>45989</v>
      </c>
      <c r="J44" s="108">
        <v>-350000</v>
      </c>
      <c r="K44" s="23" t="s">
        <v>113</v>
      </c>
      <c r="L44" s="23"/>
      <c r="M44" s="23"/>
      <c r="O44" s="20" t="s">
        <v>114</v>
      </c>
      <c r="P44" s="20" t="s">
        <v>115</v>
      </c>
      <c r="Q44" s="19">
        <v>1</v>
      </c>
      <c r="R44" s="59" t="s">
        <v>116</v>
      </c>
      <c r="S44" s="20" t="s">
        <v>113</v>
      </c>
      <c r="U44" s="20" t="s">
        <v>117</v>
      </c>
      <c r="V44" s="19" t="s">
        <v>118</v>
      </c>
      <c r="W44" s="19" t="s">
        <v>119</v>
      </c>
      <c r="X44" s="19" t="s">
        <v>120</v>
      </c>
      <c r="Y44" s="19">
        <v>10041</v>
      </c>
      <c r="Z44" s="19" t="s">
        <v>121</v>
      </c>
      <c r="AA44" s="19" t="s">
        <v>122</v>
      </c>
      <c r="AB44" s="19" t="s">
        <v>123</v>
      </c>
      <c r="AF44" s="19">
        <v>100</v>
      </c>
      <c r="AI44" s="68">
        <v>45938</v>
      </c>
      <c r="AJ44" s="94" t="s">
        <v>124</v>
      </c>
    </row>
    <row r="45" spans="1:36">
      <c r="A45" s="19"/>
      <c r="B45" s="20"/>
      <c r="C45" s="20"/>
      <c r="D45" s="20"/>
      <c r="E45" s="20" t="s">
        <v>110</v>
      </c>
      <c r="F45" s="20" t="s">
        <v>125</v>
      </c>
      <c r="G45" s="22" t="s">
        <v>126</v>
      </c>
      <c r="H45" s="21"/>
      <c r="I45" s="107">
        <v>45993</v>
      </c>
      <c r="J45" s="108">
        <v>-405103</v>
      </c>
      <c r="K45" s="23">
        <f>SUM(J3:J45)</f>
        <v>4393815</v>
      </c>
      <c r="L45" s="23"/>
      <c r="M45" s="23"/>
      <c r="O45" s="20" t="s">
        <v>114</v>
      </c>
      <c r="P45" s="20" t="s">
        <v>115</v>
      </c>
      <c r="Q45" s="19">
        <v>1</v>
      </c>
      <c r="R45" s="59" t="s">
        <v>116</v>
      </c>
      <c r="S45" s="20" t="s">
        <v>113</v>
      </c>
      <c r="U45" s="20" t="s">
        <v>117</v>
      </c>
      <c r="V45" s="19" t="s">
        <v>118</v>
      </c>
      <c r="W45" s="19" t="s">
        <v>119</v>
      </c>
      <c r="X45" s="19" t="s">
        <v>120</v>
      </c>
      <c r="Y45" s="19">
        <v>10041</v>
      </c>
      <c r="Z45" s="19" t="s">
        <v>121</v>
      </c>
      <c r="AA45" s="19" t="s">
        <v>122</v>
      </c>
      <c r="AB45" s="19" t="s">
        <v>123</v>
      </c>
      <c r="AF45" s="19">
        <v>100</v>
      </c>
      <c r="AI45" s="68">
        <v>45938</v>
      </c>
      <c r="AJ45" s="94" t="s">
        <v>124</v>
      </c>
    </row>
    <row r="46" spans="1:36" ht="12.75">
      <c r="A46" s="19"/>
      <c r="B46" s="20"/>
      <c r="C46" s="20"/>
      <c r="D46" s="20"/>
      <c r="E46" s="20" t="s">
        <v>110</v>
      </c>
      <c r="F46" s="20" t="s">
        <v>111</v>
      </c>
      <c r="G46" s="22" t="s">
        <v>112</v>
      </c>
      <c r="H46" s="21">
        <v>45938</v>
      </c>
      <c r="I46" s="22"/>
      <c r="J46" s="23">
        <v>245000</v>
      </c>
      <c r="K46" s="23">
        <f>SUM(J46)</f>
        <v>245000</v>
      </c>
      <c r="L46" s="23"/>
      <c r="M46" s="23"/>
      <c r="N46" s="20" t="s">
        <v>127</v>
      </c>
      <c r="O46" s="20" t="s">
        <v>114</v>
      </c>
      <c r="P46" s="20" t="s">
        <v>115</v>
      </c>
      <c r="Q46" s="19">
        <v>2</v>
      </c>
      <c r="R46" s="59" t="s">
        <v>128</v>
      </c>
      <c r="S46" s="20"/>
      <c r="U46" s="20" t="s">
        <v>129</v>
      </c>
      <c r="V46" s="18" t="s">
        <v>130</v>
      </c>
      <c r="W46" s="18" t="s">
        <v>119</v>
      </c>
      <c r="X46" s="18" t="s">
        <v>120</v>
      </c>
      <c r="Y46" s="18">
        <v>10175</v>
      </c>
      <c r="Z46" s="18" t="s">
        <v>121</v>
      </c>
      <c r="AA46" s="19"/>
      <c r="AB46" s="19"/>
      <c r="AF46" s="19"/>
      <c r="AI46" s="68">
        <v>45938</v>
      </c>
      <c r="AJ46" s="94" t="s">
        <v>124</v>
      </c>
    </row>
    <row r="47" spans="1:36" ht="35.25">
      <c r="A47" s="19"/>
      <c r="B47" s="20"/>
      <c r="C47" s="20"/>
      <c r="D47" s="20"/>
      <c r="E47" s="20" t="s">
        <v>110</v>
      </c>
      <c r="F47" s="20" t="s">
        <v>111</v>
      </c>
      <c r="G47" s="22" t="s">
        <v>112</v>
      </c>
      <c r="H47" s="21">
        <v>45938</v>
      </c>
      <c r="I47" s="22"/>
      <c r="J47" s="23">
        <v>115000</v>
      </c>
      <c r="K47" s="23">
        <f>SUM(J47)</f>
        <v>115000</v>
      </c>
      <c r="L47" s="23"/>
      <c r="M47" s="23"/>
      <c r="N47" s="20" t="s">
        <v>127</v>
      </c>
      <c r="O47" s="20" t="s">
        <v>114</v>
      </c>
      <c r="P47" s="20" t="s">
        <v>115</v>
      </c>
      <c r="Q47" s="19">
        <v>8</v>
      </c>
      <c r="R47" s="104" t="s">
        <v>131</v>
      </c>
      <c r="S47" s="20"/>
      <c r="U47" s="20" t="s">
        <v>132</v>
      </c>
      <c r="V47" s="19" t="s">
        <v>133</v>
      </c>
      <c r="W47" s="19" t="s">
        <v>119</v>
      </c>
      <c r="X47" s="19" t="s">
        <v>120</v>
      </c>
      <c r="Y47" s="19">
        <v>10019</v>
      </c>
      <c r="Z47" s="19" t="s">
        <v>121</v>
      </c>
      <c r="AA47" s="19"/>
      <c r="AB47" s="19"/>
      <c r="AF47" s="19"/>
      <c r="AI47" s="68">
        <v>45938</v>
      </c>
      <c r="AJ47" s="94" t="s">
        <v>124</v>
      </c>
    </row>
    <row r="48" spans="1:36" ht="15">
      <c r="A48" s="19"/>
      <c r="B48" s="20"/>
      <c r="C48" s="20"/>
      <c r="D48" s="20"/>
      <c r="E48" s="20"/>
      <c r="F48" s="20"/>
      <c r="G48" s="22"/>
      <c r="H48" s="21"/>
      <c r="I48" s="22"/>
      <c r="J48" s="23"/>
      <c r="K48" s="23"/>
      <c r="L48" s="23"/>
      <c r="M48" s="23"/>
      <c r="N48" s="22"/>
      <c r="O48" s="20"/>
      <c r="P48" s="20"/>
      <c r="Q48" s="19"/>
      <c r="R48" s="59"/>
      <c r="S48" s="20"/>
      <c r="U48" s="20"/>
      <c r="AA48" s="19"/>
      <c r="AB48" s="19"/>
      <c r="AC48" s="66"/>
      <c r="AF48" s="19"/>
      <c r="AI48" s="68"/>
    </row>
    <row r="49" spans="1:36" ht="12.95">
      <c r="A49" s="19"/>
      <c r="B49" s="20"/>
      <c r="C49" s="21"/>
      <c r="D49" s="20"/>
      <c r="E49" s="61" t="s">
        <v>134</v>
      </c>
      <c r="F49" s="20"/>
      <c r="G49" s="22"/>
      <c r="H49" s="21"/>
      <c r="I49" s="22"/>
      <c r="J49" s="24"/>
      <c r="K49" s="62">
        <f>SUM(K3:K48)</f>
        <v>4753815</v>
      </c>
      <c r="L49" s="23"/>
      <c r="M49" s="23"/>
      <c r="O49" s="20"/>
      <c r="P49" s="20"/>
    </row>
    <row r="50" spans="1:36" ht="12.95">
      <c r="A50" s="96"/>
      <c r="B50" s="97"/>
      <c r="C50" s="98"/>
      <c r="D50" s="97"/>
      <c r="E50" s="97"/>
      <c r="F50" s="97"/>
      <c r="G50" s="99"/>
      <c r="H50" s="98"/>
      <c r="I50" s="99"/>
      <c r="J50" s="100"/>
      <c r="K50" s="96"/>
      <c r="L50" s="96"/>
      <c r="M50" s="96"/>
      <c r="N50" s="101"/>
      <c r="O50" s="97"/>
      <c r="P50" s="97"/>
      <c r="Q50" s="101"/>
      <c r="R50" s="102"/>
      <c r="S50" s="101"/>
      <c r="T50" s="101"/>
      <c r="U50" s="99"/>
      <c r="V50" s="101"/>
      <c r="W50" s="101"/>
      <c r="X50" s="101"/>
      <c r="Y50" s="101"/>
      <c r="Z50" s="101"/>
      <c r="AA50" s="101"/>
      <c r="AB50" s="101"/>
      <c r="AC50" s="101"/>
      <c r="AD50" s="101"/>
      <c r="AE50" s="101"/>
      <c r="AF50" s="101"/>
      <c r="AG50" s="101"/>
      <c r="AH50" s="101"/>
      <c r="AI50" s="101"/>
      <c r="AJ50" s="101"/>
    </row>
    <row r="51" spans="1:36">
      <c r="A51" s="19" t="s">
        <v>135</v>
      </c>
      <c r="B51" s="20" t="s">
        <v>136</v>
      </c>
      <c r="C51" s="20" t="s">
        <v>26</v>
      </c>
      <c r="D51" s="20" t="s">
        <v>137</v>
      </c>
      <c r="E51" s="20" t="s">
        <v>138</v>
      </c>
      <c r="F51" s="22" t="s">
        <v>139</v>
      </c>
      <c r="G51" s="22" t="s">
        <v>140</v>
      </c>
      <c r="H51" s="107">
        <v>45967</v>
      </c>
      <c r="J51" s="108">
        <v>465815</v>
      </c>
      <c r="O51" s="20" t="s">
        <v>114</v>
      </c>
      <c r="P51" s="20" t="s">
        <v>115</v>
      </c>
      <c r="Q51" s="19">
        <v>1</v>
      </c>
      <c r="R51" s="59" t="s">
        <v>116</v>
      </c>
      <c r="S51" s="20" t="s">
        <v>113</v>
      </c>
      <c r="U51" s="20" t="s">
        <v>117</v>
      </c>
      <c r="V51" s="19" t="s">
        <v>118</v>
      </c>
      <c r="W51" s="19" t="s">
        <v>119</v>
      </c>
      <c r="X51" s="19" t="s">
        <v>120</v>
      </c>
      <c r="Y51" s="19">
        <v>10041</v>
      </c>
      <c r="Z51" s="19" t="s">
        <v>121</v>
      </c>
      <c r="AA51" s="19" t="s">
        <v>122</v>
      </c>
      <c r="AB51" s="19" t="s">
        <v>123</v>
      </c>
      <c r="AF51" s="19">
        <v>100</v>
      </c>
      <c r="AI51" s="68">
        <v>45938</v>
      </c>
      <c r="AJ51" s="94" t="s">
        <v>124</v>
      </c>
    </row>
    <row r="52" spans="1:36">
      <c r="A52" s="19"/>
      <c r="B52" s="20"/>
      <c r="C52" s="20"/>
      <c r="D52" s="20"/>
      <c r="E52" s="20" t="s">
        <v>138</v>
      </c>
      <c r="F52" s="22" t="s">
        <v>139</v>
      </c>
      <c r="G52" s="22" t="s">
        <v>140</v>
      </c>
      <c r="H52" s="107">
        <v>45967</v>
      </c>
      <c r="J52" s="108">
        <v>217084</v>
      </c>
      <c r="O52" s="20" t="s">
        <v>114</v>
      </c>
      <c r="P52" s="20" t="s">
        <v>115</v>
      </c>
      <c r="Q52" s="19">
        <v>1</v>
      </c>
      <c r="R52" s="59" t="s">
        <v>116</v>
      </c>
      <c r="S52" s="20" t="s">
        <v>113</v>
      </c>
      <c r="U52" s="20" t="s">
        <v>117</v>
      </c>
      <c r="V52" s="19" t="s">
        <v>118</v>
      </c>
      <c r="W52" s="19" t="s">
        <v>119</v>
      </c>
      <c r="X52" s="19" t="s">
        <v>120</v>
      </c>
      <c r="Y52" s="19">
        <v>10041</v>
      </c>
      <c r="Z52" s="19" t="s">
        <v>121</v>
      </c>
      <c r="AA52" s="19" t="s">
        <v>122</v>
      </c>
      <c r="AB52" s="19" t="s">
        <v>123</v>
      </c>
      <c r="AF52" s="19">
        <v>100</v>
      </c>
      <c r="AI52" s="68">
        <v>45938</v>
      </c>
      <c r="AJ52" s="94" t="s">
        <v>124</v>
      </c>
    </row>
    <row r="53" spans="1:36">
      <c r="A53" s="19"/>
      <c r="B53" s="20"/>
      <c r="C53" s="20"/>
      <c r="D53" s="20"/>
      <c r="E53" s="20" t="s">
        <v>138</v>
      </c>
      <c r="F53" s="22" t="s">
        <v>139</v>
      </c>
      <c r="G53" s="22" t="s">
        <v>140</v>
      </c>
      <c r="H53" s="107">
        <v>45967</v>
      </c>
      <c r="J53" s="108">
        <v>133947</v>
      </c>
      <c r="O53" s="20" t="s">
        <v>114</v>
      </c>
      <c r="P53" s="20" t="s">
        <v>115</v>
      </c>
      <c r="Q53" s="19">
        <v>1</v>
      </c>
      <c r="R53" s="59" t="s">
        <v>116</v>
      </c>
      <c r="S53" s="20" t="s">
        <v>113</v>
      </c>
      <c r="U53" s="20" t="s">
        <v>117</v>
      </c>
      <c r="V53" s="19" t="s">
        <v>118</v>
      </c>
      <c r="W53" s="19" t="s">
        <v>119</v>
      </c>
      <c r="X53" s="19" t="s">
        <v>120</v>
      </c>
      <c r="Y53" s="19">
        <v>10041</v>
      </c>
      <c r="Z53" s="19" t="s">
        <v>121</v>
      </c>
      <c r="AA53" s="19" t="s">
        <v>122</v>
      </c>
      <c r="AB53" s="19" t="s">
        <v>123</v>
      </c>
      <c r="AF53" s="19">
        <v>100</v>
      </c>
      <c r="AI53" s="68">
        <v>45938</v>
      </c>
      <c r="AJ53" s="94" t="s">
        <v>124</v>
      </c>
    </row>
    <row r="54" spans="1:36">
      <c r="A54" s="19"/>
      <c r="B54" s="20"/>
      <c r="C54" s="20"/>
      <c r="D54" s="20"/>
      <c r="E54" s="20" t="s">
        <v>138</v>
      </c>
      <c r="F54" s="22" t="s">
        <v>139</v>
      </c>
      <c r="G54" s="22" t="s">
        <v>140</v>
      </c>
      <c r="H54" s="107">
        <v>45967</v>
      </c>
      <c r="J54" s="108">
        <v>269825</v>
      </c>
      <c r="O54" s="20" t="s">
        <v>114</v>
      </c>
      <c r="P54" s="20" t="s">
        <v>115</v>
      </c>
      <c r="Q54" s="19">
        <v>1</v>
      </c>
      <c r="R54" s="59" t="s">
        <v>116</v>
      </c>
      <c r="S54" s="20" t="s">
        <v>113</v>
      </c>
      <c r="U54" s="20" t="s">
        <v>117</v>
      </c>
      <c r="V54" s="19" t="s">
        <v>118</v>
      </c>
      <c r="W54" s="19" t="s">
        <v>119</v>
      </c>
      <c r="X54" s="19" t="s">
        <v>120</v>
      </c>
      <c r="Y54" s="19">
        <v>10041</v>
      </c>
      <c r="Z54" s="19" t="s">
        <v>121</v>
      </c>
      <c r="AA54" s="19" t="s">
        <v>122</v>
      </c>
      <c r="AB54" s="19" t="s">
        <v>123</v>
      </c>
      <c r="AF54" s="19">
        <v>100</v>
      </c>
      <c r="AI54" s="68">
        <v>45938</v>
      </c>
      <c r="AJ54" s="94" t="s">
        <v>124</v>
      </c>
    </row>
    <row r="55" spans="1:36">
      <c r="A55" s="19"/>
      <c r="B55" s="20"/>
      <c r="C55" s="20"/>
      <c r="D55" s="20"/>
      <c r="E55" s="20" t="s">
        <v>138</v>
      </c>
      <c r="F55" s="22" t="s">
        <v>139</v>
      </c>
      <c r="G55" s="22" t="s">
        <v>140</v>
      </c>
      <c r="H55" s="107">
        <v>45967</v>
      </c>
      <c r="J55" s="108">
        <v>140000</v>
      </c>
      <c r="O55" s="20" t="s">
        <v>114</v>
      </c>
      <c r="P55" s="20" t="s">
        <v>115</v>
      </c>
      <c r="Q55" s="19">
        <v>1</v>
      </c>
      <c r="R55" s="59" t="s">
        <v>116</v>
      </c>
      <c r="S55" s="20" t="s">
        <v>113</v>
      </c>
      <c r="U55" s="20" t="s">
        <v>117</v>
      </c>
      <c r="V55" s="19" t="s">
        <v>118</v>
      </c>
      <c r="W55" s="19" t="s">
        <v>119</v>
      </c>
      <c r="X55" s="19" t="s">
        <v>120</v>
      </c>
      <c r="Y55" s="19">
        <v>10041</v>
      </c>
      <c r="Z55" s="19" t="s">
        <v>121</v>
      </c>
      <c r="AA55" s="19" t="s">
        <v>122</v>
      </c>
      <c r="AB55" s="19" t="s">
        <v>123</v>
      </c>
      <c r="AF55" s="19">
        <v>100</v>
      </c>
      <c r="AI55" s="68">
        <v>45938</v>
      </c>
      <c r="AJ55" s="94" t="s">
        <v>124</v>
      </c>
    </row>
    <row r="56" spans="1:36">
      <c r="A56" s="19"/>
      <c r="B56" s="20"/>
      <c r="C56" s="20"/>
      <c r="D56" s="20"/>
      <c r="E56" s="20" t="s">
        <v>138</v>
      </c>
      <c r="F56" s="22" t="s">
        <v>139</v>
      </c>
      <c r="G56" s="22" t="s">
        <v>140</v>
      </c>
      <c r="H56" s="107">
        <v>45967</v>
      </c>
      <c r="J56" s="108">
        <v>35000</v>
      </c>
      <c r="O56" s="20" t="s">
        <v>114</v>
      </c>
      <c r="P56" s="20" t="s">
        <v>115</v>
      </c>
      <c r="Q56" s="19">
        <v>1</v>
      </c>
      <c r="R56" s="59" t="s">
        <v>116</v>
      </c>
      <c r="S56" s="20" t="s">
        <v>113</v>
      </c>
      <c r="U56" s="20" t="s">
        <v>117</v>
      </c>
      <c r="V56" s="19" t="s">
        <v>118</v>
      </c>
      <c r="W56" s="19" t="s">
        <v>119</v>
      </c>
      <c r="X56" s="19" t="s">
        <v>120</v>
      </c>
      <c r="Y56" s="19">
        <v>10041</v>
      </c>
      <c r="Z56" s="19" t="s">
        <v>121</v>
      </c>
      <c r="AA56" s="19" t="s">
        <v>122</v>
      </c>
      <c r="AB56" s="19" t="s">
        <v>123</v>
      </c>
      <c r="AF56" s="19">
        <v>100</v>
      </c>
      <c r="AI56" s="68">
        <v>45938</v>
      </c>
      <c r="AJ56" s="94" t="s">
        <v>124</v>
      </c>
    </row>
    <row r="57" spans="1:36">
      <c r="A57" s="19"/>
      <c r="B57" s="20"/>
      <c r="C57" s="20"/>
      <c r="D57" s="20"/>
      <c r="E57" s="20" t="s">
        <v>138</v>
      </c>
      <c r="F57" s="22" t="s">
        <v>139</v>
      </c>
      <c r="G57" s="22" t="s">
        <v>140</v>
      </c>
      <c r="H57" s="107">
        <v>45967</v>
      </c>
      <c r="J57" s="108">
        <v>35000</v>
      </c>
      <c r="O57" s="20" t="s">
        <v>114</v>
      </c>
      <c r="P57" s="20" t="s">
        <v>115</v>
      </c>
      <c r="Q57" s="19">
        <v>1</v>
      </c>
      <c r="R57" s="59" t="s">
        <v>116</v>
      </c>
      <c r="S57" s="20" t="s">
        <v>113</v>
      </c>
      <c r="U57" s="20" t="s">
        <v>117</v>
      </c>
      <c r="V57" s="19" t="s">
        <v>118</v>
      </c>
      <c r="W57" s="19" t="s">
        <v>119</v>
      </c>
      <c r="X57" s="19" t="s">
        <v>120</v>
      </c>
      <c r="Y57" s="19">
        <v>10041</v>
      </c>
      <c r="Z57" s="19" t="s">
        <v>121</v>
      </c>
      <c r="AA57" s="19" t="s">
        <v>122</v>
      </c>
      <c r="AB57" s="19" t="s">
        <v>123</v>
      </c>
      <c r="AF57" s="19">
        <v>100</v>
      </c>
      <c r="AI57" s="68">
        <v>45938</v>
      </c>
      <c r="AJ57" s="94" t="s">
        <v>124</v>
      </c>
    </row>
    <row r="58" spans="1:36">
      <c r="A58" s="19"/>
      <c r="B58" s="20"/>
      <c r="C58" s="20"/>
      <c r="D58" s="20"/>
      <c r="E58" s="20" t="s">
        <v>138</v>
      </c>
      <c r="F58" s="22" t="s">
        <v>139</v>
      </c>
      <c r="G58" s="22" t="s">
        <v>140</v>
      </c>
      <c r="H58" s="107">
        <v>45967</v>
      </c>
      <c r="J58" s="108">
        <v>178682</v>
      </c>
      <c r="K58" s="109" t="s">
        <v>113</v>
      </c>
      <c r="O58" s="20" t="s">
        <v>114</v>
      </c>
      <c r="P58" s="20" t="s">
        <v>115</v>
      </c>
      <c r="Q58" s="19">
        <v>1</v>
      </c>
      <c r="R58" s="59" t="s">
        <v>116</v>
      </c>
      <c r="S58" s="20" t="s">
        <v>113</v>
      </c>
      <c r="U58" s="20" t="s">
        <v>117</v>
      </c>
      <c r="V58" s="19" t="s">
        <v>118</v>
      </c>
      <c r="W58" s="19" t="s">
        <v>119</v>
      </c>
      <c r="X58" s="19" t="s">
        <v>120</v>
      </c>
      <c r="Y58" s="19">
        <v>10041</v>
      </c>
      <c r="Z58" s="19" t="s">
        <v>121</v>
      </c>
      <c r="AA58" s="19" t="s">
        <v>122</v>
      </c>
      <c r="AB58" s="19" t="s">
        <v>123</v>
      </c>
      <c r="AF58" s="19">
        <v>100</v>
      </c>
      <c r="AI58" s="68">
        <v>45938</v>
      </c>
      <c r="AJ58" s="94" t="s">
        <v>124</v>
      </c>
    </row>
    <row r="59" spans="1:36">
      <c r="A59" s="19"/>
      <c r="B59" s="20"/>
      <c r="C59" s="20"/>
      <c r="D59" s="20"/>
      <c r="E59" s="20" t="s">
        <v>138</v>
      </c>
      <c r="F59" s="22" t="s">
        <v>139</v>
      </c>
      <c r="G59" s="22" t="s">
        <v>140</v>
      </c>
      <c r="H59" s="107">
        <v>45968</v>
      </c>
      <c r="J59" s="108">
        <v>126679</v>
      </c>
      <c r="K59" s="109"/>
      <c r="O59" s="20" t="s">
        <v>114</v>
      </c>
      <c r="P59" s="20" t="s">
        <v>115</v>
      </c>
      <c r="Q59" s="19">
        <v>1</v>
      </c>
      <c r="R59" s="59" t="s">
        <v>116</v>
      </c>
      <c r="S59" s="20" t="s">
        <v>113</v>
      </c>
      <c r="U59" s="20" t="s">
        <v>117</v>
      </c>
      <c r="V59" s="19" t="s">
        <v>118</v>
      </c>
      <c r="W59" s="19" t="s">
        <v>119</v>
      </c>
      <c r="X59" s="19" t="s">
        <v>120</v>
      </c>
      <c r="Y59" s="19">
        <v>10041</v>
      </c>
      <c r="Z59" s="19" t="s">
        <v>121</v>
      </c>
      <c r="AA59" s="19" t="s">
        <v>122</v>
      </c>
      <c r="AB59" s="19" t="s">
        <v>123</v>
      </c>
      <c r="AF59" s="19">
        <v>100</v>
      </c>
      <c r="AI59" s="68">
        <v>45938</v>
      </c>
      <c r="AJ59" s="94" t="s">
        <v>124</v>
      </c>
    </row>
    <row r="60" spans="1:36">
      <c r="A60" s="19"/>
      <c r="B60" s="20"/>
      <c r="C60" s="20"/>
      <c r="D60" s="20"/>
      <c r="E60" s="20" t="s">
        <v>138</v>
      </c>
      <c r="F60" s="22" t="s">
        <v>139</v>
      </c>
      <c r="G60" s="22" t="s">
        <v>140</v>
      </c>
      <c r="H60" s="107">
        <v>45968</v>
      </c>
      <c r="J60" s="108">
        <v>528723</v>
      </c>
      <c r="K60" s="109"/>
      <c r="O60" s="20" t="s">
        <v>114</v>
      </c>
      <c r="P60" s="20" t="s">
        <v>115</v>
      </c>
      <c r="Q60" s="19">
        <v>1</v>
      </c>
      <c r="R60" s="59" t="s">
        <v>116</v>
      </c>
      <c r="S60" s="20" t="s">
        <v>113</v>
      </c>
      <c r="U60" s="20" t="s">
        <v>117</v>
      </c>
      <c r="V60" s="19" t="s">
        <v>118</v>
      </c>
      <c r="W60" s="19" t="s">
        <v>119</v>
      </c>
      <c r="X60" s="19" t="s">
        <v>120</v>
      </c>
      <c r="Y60" s="19">
        <v>10041</v>
      </c>
      <c r="Z60" s="19" t="s">
        <v>121</v>
      </c>
      <c r="AA60" s="19" t="s">
        <v>122</v>
      </c>
      <c r="AB60" s="19" t="s">
        <v>123</v>
      </c>
      <c r="AF60" s="19">
        <v>100</v>
      </c>
      <c r="AI60" s="68">
        <v>45938</v>
      </c>
      <c r="AJ60" s="94" t="s">
        <v>124</v>
      </c>
    </row>
    <row r="61" spans="1:36">
      <c r="A61" s="19"/>
      <c r="B61" s="20"/>
      <c r="C61" s="20"/>
      <c r="D61" s="20"/>
      <c r="E61" s="20" t="s">
        <v>138</v>
      </c>
      <c r="F61" s="22" t="s">
        <v>139</v>
      </c>
      <c r="G61" s="22" t="s">
        <v>140</v>
      </c>
      <c r="H61" s="107">
        <v>45968</v>
      </c>
      <c r="J61" s="108">
        <v>181250</v>
      </c>
      <c r="K61" s="109"/>
      <c r="O61" s="20" t="s">
        <v>114</v>
      </c>
      <c r="P61" s="20" t="s">
        <v>115</v>
      </c>
      <c r="Q61" s="19">
        <v>1</v>
      </c>
      <c r="R61" s="59" t="s">
        <v>116</v>
      </c>
      <c r="S61" s="20" t="s">
        <v>113</v>
      </c>
      <c r="U61" s="20" t="s">
        <v>117</v>
      </c>
      <c r="V61" s="19" t="s">
        <v>118</v>
      </c>
      <c r="W61" s="19" t="s">
        <v>119</v>
      </c>
      <c r="X61" s="19" t="s">
        <v>120</v>
      </c>
      <c r="Y61" s="19">
        <v>10041</v>
      </c>
      <c r="Z61" s="19" t="s">
        <v>121</v>
      </c>
      <c r="AA61" s="19" t="s">
        <v>122</v>
      </c>
      <c r="AB61" s="19" t="s">
        <v>123</v>
      </c>
      <c r="AF61" s="19">
        <v>100</v>
      </c>
      <c r="AI61" s="68">
        <v>45938</v>
      </c>
      <c r="AJ61" s="94" t="s">
        <v>124</v>
      </c>
    </row>
    <row r="62" spans="1:36">
      <c r="A62" s="19"/>
      <c r="B62" s="20"/>
      <c r="C62" s="20"/>
      <c r="D62" s="20"/>
      <c r="E62" s="20" t="s">
        <v>138</v>
      </c>
      <c r="F62" s="22" t="s">
        <v>139</v>
      </c>
      <c r="G62" s="22" t="s">
        <v>140</v>
      </c>
      <c r="H62" s="107">
        <v>45968</v>
      </c>
      <c r="J62" s="108">
        <v>1077475</v>
      </c>
      <c r="K62" s="109"/>
      <c r="O62" s="20" t="s">
        <v>114</v>
      </c>
      <c r="P62" s="20" t="s">
        <v>115</v>
      </c>
      <c r="Q62" s="19">
        <v>1</v>
      </c>
      <c r="R62" s="59" t="s">
        <v>116</v>
      </c>
      <c r="S62" s="20" t="s">
        <v>113</v>
      </c>
      <c r="U62" s="20" t="s">
        <v>117</v>
      </c>
      <c r="V62" s="19" t="s">
        <v>118</v>
      </c>
      <c r="W62" s="19" t="s">
        <v>119</v>
      </c>
      <c r="X62" s="19" t="s">
        <v>120</v>
      </c>
      <c r="Y62" s="19">
        <v>10041</v>
      </c>
      <c r="Z62" s="19" t="s">
        <v>121</v>
      </c>
      <c r="AA62" s="19" t="s">
        <v>122</v>
      </c>
      <c r="AB62" s="19" t="s">
        <v>123</v>
      </c>
      <c r="AF62" s="19">
        <v>100</v>
      </c>
      <c r="AI62" s="68">
        <v>45938</v>
      </c>
      <c r="AJ62" s="94" t="s">
        <v>124</v>
      </c>
    </row>
    <row r="63" spans="1:36">
      <c r="A63" s="19"/>
      <c r="B63" s="20"/>
      <c r="C63" s="20"/>
      <c r="D63" s="20"/>
      <c r="E63" s="20" t="s">
        <v>138</v>
      </c>
      <c r="F63" s="22" t="s">
        <v>139</v>
      </c>
      <c r="G63" s="22" t="s">
        <v>140</v>
      </c>
      <c r="H63" s="107">
        <v>45968</v>
      </c>
      <c r="J63" s="108">
        <v>420000</v>
      </c>
      <c r="K63" s="109"/>
      <c r="O63" s="20" t="s">
        <v>114</v>
      </c>
      <c r="P63" s="20" t="s">
        <v>115</v>
      </c>
      <c r="Q63" s="19">
        <v>1</v>
      </c>
      <c r="R63" s="59" t="s">
        <v>116</v>
      </c>
      <c r="S63" s="20" t="s">
        <v>113</v>
      </c>
      <c r="U63" s="20" t="s">
        <v>117</v>
      </c>
      <c r="V63" s="19" t="s">
        <v>118</v>
      </c>
      <c r="W63" s="19" t="s">
        <v>119</v>
      </c>
      <c r="X63" s="19" t="s">
        <v>120</v>
      </c>
      <c r="Y63" s="19">
        <v>10041</v>
      </c>
      <c r="Z63" s="19" t="s">
        <v>121</v>
      </c>
      <c r="AA63" s="19" t="s">
        <v>122</v>
      </c>
      <c r="AB63" s="19" t="s">
        <v>123</v>
      </c>
      <c r="AF63" s="19">
        <v>100</v>
      </c>
      <c r="AI63" s="68">
        <v>45938</v>
      </c>
      <c r="AJ63" s="94" t="s">
        <v>124</v>
      </c>
    </row>
    <row r="64" spans="1:36">
      <c r="A64" s="19"/>
      <c r="B64" s="20"/>
      <c r="C64" s="20"/>
      <c r="D64" s="20"/>
      <c r="E64" s="20" t="s">
        <v>138</v>
      </c>
      <c r="F64" s="22" t="s">
        <v>139</v>
      </c>
      <c r="G64" s="22" t="s">
        <v>140</v>
      </c>
      <c r="H64" s="107">
        <v>45968</v>
      </c>
      <c r="J64" s="108">
        <v>26052</v>
      </c>
      <c r="K64" s="109" t="s">
        <v>113</v>
      </c>
      <c r="O64" s="20" t="s">
        <v>114</v>
      </c>
      <c r="P64" s="20" t="s">
        <v>115</v>
      </c>
      <c r="Q64" s="19">
        <v>1</v>
      </c>
      <c r="R64" s="59" t="s">
        <v>116</v>
      </c>
      <c r="S64" s="20" t="s">
        <v>113</v>
      </c>
      <c r="U64" s="20" t="s">
        <v>117</v>
      </c>
      <c r="V64" s="19" t="s">
        <v>118</v>
      </c>
      <c r="W64" s="19" t="s">
        <v>119</v>
      </c>
      <c r="X64" s="19" t="s">
        <v>120</v>
      </c>
      <c r="Y64" s="19">
        <v>10041</v>
      </c>
      <c r="Z64" s="19" t="s">
        <v>121</v>
      </c>
      <c r="AA64" s="19" t="s">
        <v>122</v>
      </c>
      <c r="AB64" s="19" t="s">
        <v>123</v>
      </c>
      <c r="AF64" s="19">
        <v>100</v>
      </c>
      <c r="AI64" s="68">
        <v>45938</v>
      </c>
      <c r="AJ64" s="94" t="s">
        <v>124</v>
      </c>
    </row>
    <row r="65" spans="1:36">
      <c r="A65" s="19"/>
      <c r="B65" s="20"/>
      <c r="C65" s="20"/>
      <c r="D65" s="20"/>
      <c r="E65" s="20" t="s">
        <v>138</v>
      </c>
      <c r="F65" s="22" t="s">
        <v>139</v>
      </c>
      <c r="G65" s="22" t="s">
        <v>140</v>
      </c>
      <c r="H65" s="107">
        <v>45971</v>
      </c>
      <c r="J65" s="108">
        <v>63000</v>
      </c>
      <c r="K65" s="109"/>
      <c r="O65" s="20" t="s">
        <v>114</v>
      </c>
      <c r="P65" s="20" t="s">
        <v>115</v>
      </c>
      <c r="Q65" s="19">
        <v>1</v>
      </c>
      <c r="R65" s="59" t="s">
        <v>116</v>
      </c>
      <c r="S65" s="20" t="s">
        <v>113</v>
      </c>
      <c r="U65" s="20" t="s">
        <v>117</v>
      </c>
      <c r="V65" s="19" t="s">
        <v>118</v>
      </c>
      <c r="W65" s="19" t="s">
        <v>119</v>
      </c>
      <c r="X65" s="19" t="s">
        <v>120</v>
      </c>
      <c r="Y65" s="19">
        <v>10041</v>
      </c>
      <c r="Z65" s="19" t="s">
        <v>121</v>
      </c>
      <c r="AA65" s="19" t="s">
        <v>122</v>
      </c>
      <c r="AB65" s="19" t="s">
        <v>123</v>
      </c>
      <c r="AF65" s="19">
        <v>100</v>
      </c>
      <c r="AI65" s="68">
        <v>45938</v>
      </c>
      <c r="AJ65" s="94" t="s">
        <v>124</v>
      </c>
    </row>
    <row r="66" spans="1:36">
      <c r="A66" s="19"/>
      <c r="B66" s="20"/>
      <c r="C66" s="20"/>
      <c r="D66" s="20"/>
      <c r="E66" s="20" t="s">
        <v>138</v>
      </c>
      <c r="F66" s="22" t="s">
        <v>139</v>
      </c>
      <c r="G66" s="22" t="s">
        <v>140</v>
      </c>
      <c r="H66" s="107">
        <v>45971</v>
      </c>
      <c r="J66" s="108">
        <v>175000</v>
      </c>
      <c r="K66" s="109"/>
      <c r="O66" s="20" t="s">
        <v>114</v>
      </c>
      <c r="P66" s="20" t="s">
        <v>115</v>
      </c>
      <c r="Q66" s="19">
        <v>1</v>
      </c>
      <c r="R66" s="59" t="s">
        <v>116</v>
      </c>
      <c r="S66" s="20" t="s">
        <v>113</v>
      </c>
      <c r="U66" s="20" t="s">
        <v>117</v>
      </c>
      <c r="V66" s="19" t="s">
        <v>118</v>
      </c>
      <c r="W66" s="19" t="s">
        <v>119</v>
      </c>
      <c r="X66" s="19" t="s">
        <v>120</v>
      </c>
      <c r="Y66" s="19">
        <v>10041</v>
      </c>
      <c r="Z66" s="19" t="s">
        <v>121</v>
      </c>
      <c r="AA66" s="19" t="s">
        <v>122</v>
      </c>
      <c r="AB66" s="19" t="s">
        <v>123</v>
      </c>
      <c r="AF66" s="19">
        <v>100</v>
      </c>
      <c r="AI66" s="68">
        <v>45938</v>
      </c>
      <c r="AJ66" s="94" t="s">
        <v>124</v>
      </c>
    </row>
    <row r="67" spans="1:36">
      <c r="A67" s="19"/>
      <c r="B67" s="20"/>
      <c r="C67" s="20"/>
      <c r="D67" s="20"/>
      <c r="E67" s="20" t="s">
        <v>138</v>
      </c>
      <c r="F67" s="22" t="s">
        <v>139</v>
      </c>
      <c r="G67" s="22" t="s">
        <v>140</v>
      </c>
      <c r="H67" s="107">
        <v>45971</v>
      </c>
      <c r="J67" s="108">
        <v>203</v>
      </c>
      <c r="K67" s="109"/>
      <c r="O67" s="20" t="s">
        <v>114</v>
      </c>
      <c r="P67" s="20" t="s">
        <v>115</v>
      </c>
      <c r="Q67" s="19">
        <v>1</v>
      </c>
      <c r="R67" s="59" t="s">
        <v>116</v>
      </c>
      <c r="S67" s="20" t="s">
        <v>113</v>
      </c>
      <c r="U67" s="20" t="s">
        <v>117</v>
      </c>
      <c r="V67" s="19" t="s">
        <v>118</v>
      </c>
      <c r="W67" s="19" t="s">
        <v>119</v>
      </c>
      <c r="X67" s="19" t="s">
        <v>120</v>
      </c>
      <c r="Y67" s="19">
        <v>10041</v>
      </c>
      <c r="Z67" s="19" t="s">
        <v>121</v>
      </c>
      <c r="AA67" s="19" t="s">
        <v>122</v>
      </c>
      <c r="AB67" s="19" t="s">
        <v>123</v>
      </c>
      <c r="AF67" s="19">
        <v>100</v>
      </c>
      <c r="AI67" s="68">
        <v>45938</v>
      </c>
      <c r="AJ67" s="94" t="s">
        <v>124</v>
      </c>
    </row>
    <row r="68" spans="1:36">
      <c r="A68" s="19"/>
      <c r="B68" s="20"/>
      <c r="C68" s="20"/>
      <c r="D68" s="20"/>
      <c r="E68" s="20" t="s">
        <v>138</v>
      </c>
      <c r="F68" s="22" t="s">
        <v>139</v>
      </c>
      <c r="G68" s="22" t="s">
        <v>140</v>
      </c>
      <c r="H68" s="107">
        <v>45971</v>
      </c>
      <c r="J68" s="108">
        <v>45000</v>
      </c>
      <c r="K68" s="109" t="s">
        <v>113</v>
      </c>
      <c r="O68" s="20" t="s">
        <v>114</v>
      </c>
      <c r="P68" s="20" t="s">
        <v>115</v>
      </c>
      <c r="Q68" s="19">
        <v>1</v>
      </c>
      <c r="R68" s="59" t="s">
        <v>116</v>
      </c>
      <c r="S68" s="20" t="s">
        <v>113</v>
      </c>
      <c r="U68" s="20" t="s">
        <v>117</v>
      </c>
      <c r="V68" s="19" t="s">
        <v>118</v>
      </c>
      <c r="W68" s="19" t="s">
        <v>119</v>
      </c>
      <c r="X68" s="19" t="s">
        <v>120</v>
      </c>
      <c r="Y68" s="19">
        <v>10041</v>
      </c>
      <c r="Z68" s="19" t="s">
        <v>121</v>
      </c>
      <c r="AA68" s="19" t="s">
        <v>122</v>
      </c>
      <c r="AB68" s="19" t="s">
        <v>123</v>
      </c>
      <c r="AF68" s="19">
        <v>100</v>
      </c>
      <c r="AI68" s="68">
        <v>45938</v>
      </c>
      <c r="AJ68" s="94" t="s">
        <v>124</v>
      </c>
    </row>
    <row r="69" spans="1:36">
      <c r="A69" s="19"/>
      <c r="B69" s="20"/>
      <c r="C69" s="20"/>
      <c r="D69" s="20"/>
      <c r="E69" s="20" t="s">
        <v>138</v>
      </c>
      <c r="F69" s="22" t="s">
        <v>139</v>
      </c>
      <c r="G69" s="22" t="s">
        <v>140</v>
      </c>
      <c r="H69" s="107">
        <v>45973</v>
      </c>
      <c r="J69" s="108">
        <v>105000</v>
      </c>
      <c r="K69" s="109"/>
      <c r="O69" s="20" t="s">
        <v>114</v>
      </c>
      <c r="P69" s="20" t="s">
        <v>115</v>
      </c>
      <c r="Q69" s="19">
        <v>1</v>
      </c>
      <c r="R69" s="59" t="s">
        <v>116</v>
      </c>
      <c r="S69" s="20" t="s">
        <v>113</v>
      </c>
      <c r="U69" s="20" t="s">
        <v>117</v>
      </c>
      <c r="V69" s="19" t="s">
        <v>118</v>
      </c>
      <c r="W69" s="19" t="s">
        <v>119</v>
      </c>
      <c r="X69" s="19" t="s">
        <v>120</v>
      </c>
      <c r="Y69" s="19">
        <v>10041</v>
      </c>
      <c r="Z69" s="19" t="s">
        <v>121</v>
      </c>
      <c r="AA69" s="19" t="s">
        <v>122</v>
      </c>
      <c r="AB69" s="19" t="s">
        <v>123</v>
      </c>
      <c r="AF69" s="19">
        <v>100</v>
      </c>
      <c r="AI69" s="68">
        <v>45938</v>
      </c>
      <c r="AJ69" s="94" t="s">
        <v>124</v>
      </c>
    </row>
    <row r="70" spans="1:36">
      <c r="A70" s="19"/>
      <c r="B70" s="20"/>
      <c r="C70" s="20"/>
      <c r="D70" s="20"/>
      <c r="E70" s="20" t="s">
        <v>138</v>
      </c>
      <c r="F70" s="22" t="s">
        <v>139</v>
      </c>
      <c r="G70" s="22" t="s">
        <v>140</v>
      </c>
      <c r="H70" s="107">
        <v>45973</v>
      </c>
      <c r="J70" s="108">
        <v>355380</v>
      </c>
      <c r="K70" s="109"/>
      <c r="O70" s="20" t="s">
        <v>114</v>
      </c>
      <c r="P70" s="20" t="s">
        <v>115</v>
      </c>
      <c r="Q70" s="19">
        <v>1</v>
      </c>
      <c r="R70" s="59" t="s">
        <v>116</v>
      </c>
      <c r="S70" s="20" t="s">
        <v>113</v>
      </c>
      <c r="U70" s="20" t="s">
        <v>117</v>
      </c>
      <c r="V70" s="19" t="s">
        <v>118</v>
      </c>
      <c r="W70" s="19" t="s">
        <v>119</v>
      </c>
      <c r="X70" s="19" t="s">
        <v>120</v>
      </c>
      <c r="Y70" s="19">
        <v>10041</v>
      </c>
      <c r="Z70" s="19" t="s">
        <v>121</v>
      </c>
      <c r="AA70" s="19" t="s">
        <v>122</v>
      </c>
      <c r="AB70" s="19" t="s">
        <v>123</v>
      </c>
      <c r="AF70" s="19">
        <v>100</v>
      </c>
      <c r="AI70" s="68">
        <v>45938</v>
      </c>
      <c r="AJ70" s="94" t="s">
        <v>124</v>
      </c>
    </row>
    <row r="71" spans="1:36">
      <c r="A71" s="19"/>
      <c r="B71" s="20"/>
      <c r="C71" s="20"/>
      <c r="D71" s="20"/>
      <c r="E71" s="20" t="s">
        <v>138</v>
      </c>
      <c r="F71" s="22" t="s">
        <v>139</v>
      </c>
      <c r="G71" s="22" t="s">
        <v>140</v>
      </c>
      <c r="H71" s="107">
        <v>45973</v>
      </c>
      <c r="J71" s="108">
        <v>70500</v>
      </c>
      <c r="K71" s="109"/>
      <c r="O71" s="20" t="s">
        <v>114</v>
      </c>
      <c r="P71" s="20" t="s">
        <v>115</v>
      </c>
      <c r="Q71" s="19">
        <v>1</v>
      </c>
      <c r="R71" s="59" t="s">
        <v>116</v>
      </c>
      <c r="S71" s="20" t="s">
        <v>113</v>
      </c>
      <c r="U71" s="20" t="s">
        <v>117</v>
      </c>
      <c r="V71" s="19" t="s">
        <v>118</v>
      </c>
      <c r="W71" s="19" t="s">
        <v>119</v>
      </c>
      <c r="X71" s="19" t="s">
        <v>120</v>
      </c>
      <c r="Y71" s="19">
        <v>10041</v>
      </c>
      <c r="Z71" s="19" t="s">
        <v>121</v>
      </c>
      <c r="AA71" s="19" t="s">
        <v>122</v>
      </c>
      <c r="AB71" s="19" t="s">
        <v>123</v>
      </c>
      <c r="AF71" s="19">
        <v>100</v>
      </c>
      <c r="AI71" s="68">
        <v>45938</v>
      </c>
      <c r="AJ71" s="94" t="s">
        <v>124</v>
      </c>
    </row>
    <row r="72" spans="1:36">
      <c r="A72" s="19"/>
      <c r="B72" s="20"/>
      <c r="C72" s="20"/>
      <c r="D72" s="20"/>
      <c r="E72" s="20" t="s">
        <v>138</v>
      </c>
      <c r="F72" s="22" t="s">
        <v>139</v>
      </c>
      <c r="G72" s="22" t="s">
        <v>140</v>
      </c>
      <c r="H72" s="107">
        <v>45973</v>
      </c>
      <c r="J72" s="108">
        <v>158000</v>
      </c>
      <c r="K72" s="109" t="s">
        <v>113</v>
      </c>
      <c r="O72" s="20" t="s">
        <v>114</v>
      </c>
      <c r="P72" s="20" t="s">
        <v>115</v>
      </c>
      <c r="Q72" s="19">
        <v>1</v>
      </c>
      <c r="R72" s="59" t="s">
        <v>116</v>
      </c>
      <c r="S72" s="20" t="s">
        <v>113</v>
      </c>
      <c r="U72" s="20" t="s">
        <v>117</v>
      </c>
      <c r="V72" s="19" t="s">
        <v>118</v>
      </c>
      <c r="W72" s="19" t="s">
        <v>119</v>
      </c>
      <c r="X72" s="19" t="s">
        <v>120</v>
      </c>
      <c r="Y72" s="19">
        <v>10041</v>
      </c>
      <c r="Z72" s="19" t="s">
        <v>121</v>
      </c>
      <c r="AA72" s="19" t="s">
        <v>122</v>
      </c>
      <c r="AB72" s="19" t="s">
        <v>123</v>
      </c>
      <c r="AF72" s="19">
        <v>100</v>
      </c>
      <c r="AI72" s="68">
        <v>45938</v>
      </c>
      <c r="AJ72" s="94" t="s">
        <v>124</v>
      </c>
    </row>
    <row r="73" spans="1:36">
      <c r="A73" s="19"/>
      <c r="B73" s="20"/>
      <c r="C73" s="20"/>
      <c r="D73" s="20"/>
      <c r="E73" s="20" t="s">
        <v>138</v>
      </c>
      <c r="F73" s="22" t="s">
        <v>139</v>
      </c>
      <c r="G73" s="22" t="s">
        <v>140</v>
      </c>
      <c r="H73" s="107">
        <v>45974</v>
      </c>
      <c r="J73" s="108">
        <v>35700</v>
      </c>
      <c r="K73" s="109"/>
      <c r="O73" s="20" t="s">
        <v>114</v>
      </c>
      <c r="P73" s="20" t="s">
        <v>115</v>
      </c>
      <c r="Q73" s="19">
        <v>1</v>
      </c>
      <c r="R73" s="59" t="s">
        <v>116</v>
      </c>
      <c r="S73" s="20" t="s">
        <v>113</v>
      </c>
      <c r="U73" s="20" t="s">
        <v>117</v>
      </c>
      <c r="V73" s="19" t="s">
        <v>118</v>
      </c>
      <c r="W73" s="19" t="s">
        <v>119</v>
      </c>
      <c r="X73" s="19" t="s">
        <v>120</v>
      </c>
      <c r="Y73" s="19">
        <v>10041</v>
      </c>
      <c r="Z73" s="19" t="s">
        <v>121</v>
      </c>
      <c r="AA73" s="19" t="s">
        <v>122</v>
      </c>
      <c r="AB73" s="19" t="s">
        <v>123</v>
      </c>
      <c r="AF73" s="19">
        <v>100</v>
      </c>
      <c r="AI73" s="68">
        <v>45938</v>
      </c>
      <c r="AJ73" s="94" t="s">
        <v>124</v>
      </c>
    </row>
    <row r="74" spans="1:36">
      <c r="A74" s="19"/>
      <c r="B74" s="20"/>
      <c r="C74" s="20"/>
      <c r="D74" s="20"/>
      <c r="E74" s="20" t="s">
        <v>138</v>
      </c>
      <c r="F74" s="22" t="s">
        <v>139</v>
      </c>
      <c r="G74" s="22" t="s">
        <v>140</v>
      </c>
      <c r="H74" s="107">
        <v>45974</v>
      </c>
      <c r="J74" s="108">
        <v>62850</v>
      </c>
      <c r="K74" s="109"/>
      <c r="O74" s="20" t="s">
        <v>114</v>
      </c>
      <c r="P74" s="20" t="s">
        <v>115</v>
      </c>
      <c r="Q74" s="19">
        <v>1</v>
      </c>
      <c r="R74" s="59" t="s">
        <v>116</v>
      </c>
      <c r="S74" s="20" t="s">
        <v>113</v>
      </c>
      <c r="U74" s="20" t="s">
        <v>117</v>
      </c>
      <c r="V74" s="19" t="s">
        <v>118</v>
      </c>
      <c r="W74" s="19" t="s">
        <v>119</v>
      </c>
      <c r="X74" s="19" t="s">
        <v>120</v>
      </c>
      <c r="Y74" s="19">
        <v>10041</v>
      </c>
      <c r="Z74" s="19" t="s">
        <v>121</v>
      </c>
      <c r="AA74" s="19" t="s">
        <v>122</v>
      </c>
      <c r="AB74" s="19" t="s">
        <v>123</v>
      </c>
      <c r="AF74" s="19">
        <v>100</v>
      </c>
      <c r="AI74" s="68">
        <v>45938</v>
      </c>
      <c r="AJ74" s="94" t="s">
        <v>124</v>
      </c>
    </row>
    <row r="75" spans="1:36">
      <c r="A75" s="19"/>
      <c r="B75" s="20"/>
      <c r="C75" s="20"/>
      <c r="D75" s="20"/>
      <c r="E75" s="20" t="s">
        <v>138</v>
      </c>
      <c r="F75" s="22" t="s">
        <v>139</v>
      </c>
      <c r="G75" s="22" t="s">
        <v>140</v>
      </c>
      <c r="H75" s="107">
        <v>45974</v>
      </c>
      <c r="J75" s="108">
        <v>25800</v>
      </c>
      <c r="K75" s="109"/>
      <c r="O75" s="20" t="s">
        <v>114</v>
      </c>
      <c r="P75" s="20" t="s">
        <v>115</v>
      </c>
      <c r="Q75" s="19">
        <v>1</v>
      </c>
      <c r="R75" s="59" t="s">
        <v>116</v>
      </c>
      <c r="S75" s="20" t="s">
        <v>113</v>
      </c>
      <c r="U75" s="20" t="s">
        <v>117</v>
      </c>
      <c r="V75" s="19" t="s">
        <v>118</v>
      </c>
      <c r="W75" s="19" t="s">
        <v>119</v>
      </c>
      <c r="X75" s="19" t="s">
        <v>120</v>
      </c>
      <c r="Y75" s="19">
        <v>10041</v>
      </c>
      <c r="Z75" s="19" t="s">
        <v>121</v>
      </c>
      <c r="AA75" s="19" t="s">
        <v>122</v>
      </c>
      <c r="AB75" s="19" t="s">
        <v>123</v>
      </c>
      <c r="AF75" s="19">
        <v>100</v>
      </c>
      <c r="AI75" s="68">
        <v>45938</v>
      </c>
      <c r="AJ75" s="94" t="s">
        <v>124</v>
      </c>
    </row>
    <row r="76" spans="1:36">
      <c r="A76" s="19"/>
      <c r="B76" s="20"/>
      <c r="C76" s="20"/>
      <c r="D76" s="20"/>
      <c r="E76" s="20" t="s">
        <v>138</v>
      </c>
      <c r="F76" s="22" t="s">
        <v>139</v>
      </c>
      <c r="G76" s="22" t="s">
        <v>140</v>
      </c>
      <c r="H76" s="107">
        <v>45974</v>
      </c>
      <c r="J76" s="108">
        <v>1164</v>
      </c>
      <c r="K76" s="109"/>
      <c r="O76" s="20" t="s">
        <v>114</v>
      </c>
      <c r="P76" s="20" t="s">
        <v>115</v>
      </c>
      <c r="Q76" s="19">
        <v>1</v>
      </c>
      <c r="R76" s="59" t="s">
        <v>116</v>
      </c>
      <c r="S76" s="20" t="s">
        <v>113</v>
      </c>
      <c r="U76" s="20" t="s">
        <v>117</v>
      </c>
      <c r="V76" s="19" t="s">
        <v>118</v>
      </c>
      <c r="W76" s="19" t="s">
        <v>119</v>
      </c>
      <c r="X76" s="19" t="s">
        <v>120</v>
      </c>
      <c r="Y76" s="19">
        <v>10041</v>
      </c>
      <c r="Z76" s="19" t="s">
        <v>121</v>
      </c>
      <c r="AA76" s="19" t="s">
        <v>122</v>
      </c>
      <c r="AB76" s="19" t="s">
        <v>123</v>
      </c>
      <c r="AF76" s="19">
        <v>100</v>
      </c>
      <c r="AI76" s="68">
        <v>45938</v>
      </c>
      <c r="AJ76" s="94" t="s">
        <v>124</v>
      </c>
    </row>
    <row r="77" spans="1:36">
      <c r="A77" s="19"/>
      <c r="B77" s="20"/>
      <c r="C77" s="20"/>
      <c r="D77" s="20"/>
      <c r="E77" s="20" t="s">
        <v>138</v>
      </c>
      <c r="F77" s="22" t="s">
        <v>139</v>
      </c>
      <c r="G77" s="22" t="s">
        <v>140</v>
      </c>
      <c r="H77" s="107">
        <v>45974</v>
      </c>
      <c r="J77" s="108">
        <v>16303</v>
      </c>
      <c r="K77" s="109" t="s">
        <v>113</v>
      </c>
      <c r="O77" s="20" t="s">
        <v>114</v>
      </c>
      <c r="P77" s="20" t="s">
        <v>115</v>
      </c>
      <c r="Q77" s="19">
        <v>1</v>
      </c>
      <c r="R77" s="59" t="s">
        <v>116</v>
      </c>
      <c r="S77" s="20" t="s">
        <v>113</v>
      </c>
      <c r="U77" s="20" t="s">
        <v>117</v>
      </c>
      <c r="V77" s="19" t="s">
        <v>118</v>
      </c>
      <c r="W77" s="19" t="s">
        <v>119</v>
      </c>
      <c r="X77" s="19" t="s">
        <v>120</v>
      </c>
      <c r="Y77" s="19">
        <v>10041</v>
      </c>
      <c r="Z77" s="19" t="s">
        <v>121</v>
      </c>
      <c r="AA77" s="19" t="s">
        <v>122</v>
      </c>
      <c r="AB77" s="19" t="s">
        <v>123</v>
      </c>
      <c r="AF77" s="19">
        <v>100</v>
      </c>
      <c r="AI77" s="68">
        <v>45938</v>
      </c>
      <c r="AJ77" s="94" t="s">
        <v>124</v>
      </c>
    </row>
    <row r="78" spans="1:36">
      <c r="A78" s="19"/>
      <c r="B78" s="20"/>
      <c r="C78" s="20"/>
      <c r="D78" s="20"/>
      <c r="E78" s="20" t="s">
        <v>138</v>
      </c>
      <c r="F78" s="22" t="s">
        <v>139</v>
      </c>
      <c r="G78" s="22" t="s">
        <v>140</v>
      </c>
      <c r="H78" s="107">
        <v>45975</v>
      </c>
      <c r="J78" s="108">
        <v>91162</v>
      </c>
      <c r="K78" s="109"/>
      <c r="O78" s="20" t="s">
        <v>114</v>
      </c>
      <c r="P78" s="20" t="s">
        <v>115</v>
      </c>
      <c r="Q78" s="19">
        <v>1</v>
      </c>
      <c r="R78" s="59" t="s">
        <v>116</v>
      </c>
      <c r="S78" s="20" t="s">
        <v>113</v>
      </c>
      <c r="U78" s="20" t="s">
        <v>117</v>
      </c>
      <c r="V78" s="19" t="s">
        <v>118</v>
      </c>
      <c r="W78" s="19" t="s">
        <v>119</v>
      </c>
      <c r="X78" s="19" t="s">
        <v>120</v>
      </c>
      <c r="Y78" s="19">
        <v>10041</v>
      </c>
      <c r="Z78" s="19" t="s">
        <v>121</v>
      </c>
      <c r="AA78" s="19" t="s">
        <v>122</v>
      </c>
      <c r="AB78" s="19" t="s">
        <v>123</v>
      </c>
      <c r="AF78" s="19">
        <v>100</v>
      </c>
      <c r="AI78" s="68">
        <v>45938</v>
      </c>
      <c r="AJ78" s="94" t="s">
        <v>124</v>
      </c>
    </row>
    <row r="79" spans="1:36">
      <c r="A79" s="19"/>
      <c r="B79" s="20"/>
      <c r="C79" s="20"/>
      <c r="D79" s="20"/>
      <c r="E79" s="20" t="s">
        <v>138</v>
      </c>
      <c r="F79" s="22" t="s">
        <v>139</v>
      </c>
      <c r="G79" s="22" t="s">
        <v>140</v>
      </c>
      <c r="H79" s="107">
        <v>45975</v>
      </c>
      <c r="J79" s="108">
        <v>16500</v>
      </c>
      <c r="K79" s="109"/>
      <c r="O79" s="20" t="s">
        <v>114</v>
      </c>
      <c r="P79" s="20" t="s">
        <v>115</v>
      </c>
      <c r="Q79" s="19">
        <v>1</v>
      </c>
      <c r="R79" s="59" t="s">
        <v>116</v>
      </c>
      <c r="S79" s="20" t="s">
        <v>113</v>
      </c>
      <c r="U79" s="20" t="s">
        <v>117</v>
      </c>
      <c r="V79" s="19" t="s">
        <v>118</v>
      </c>
      <c r="W79" s="19" t="s">
        <v>119</v>
      </c>
      <c r="X79" s="19" t="s">
        <v>120</v>
      </c>
      <c r="Y79" s="19">
        <v>10041</v>
      </c>
      <c r="Z79" s="19" t="s">
        <v>121</v>
      </c>
      <c r="AA79" s="19" t="s">
        <v>122</v>
      </c>
      <c r="AB79" s="19" t="s">
        <v>123</v>
      </c>
      <c r="AF79" s="19">
        <v>100</v>
      </c>
      <c r="AI79" s="68">
        <v>45938</v>
      </c>
      <c r="AJ79" s="94" t="s">
        <v>124</v>
      </c>
    </row>
    <row r="80" spans="1:36">
      <c r="A80" s="19"/>
      <c r="B80" s="20"/>
      <c r="C80" s="20"/>
      <c r="D80" s="20"/>
      <c r="E80" s="20" t="s">
        <v>138</v>
      </c>
      <c r="F80" s="22" t="s">
        <v>139</v>
      </c>
      <c r="G80" s="22" t="s">
        <v>140</v>
      </c>
      <c r="H80" s="107">
        <v>45975</v>
      </c>
      <c r="J80" s="108">
        <v>9150</v>
      </c>
      <c r="K80" s="109" t="s">
        <v>113</v>
      </c>
      <c r="O80" s="20" t="s">
        <v>114</v>
      </c>
      <c r="P80" s="20" t="s">
        <v>115</v>
      </c>
      <c r="Q80" s="19">
        <v>1</v>
      </c>
      <c r="R80" s="59" t="s">
        <v>116</v>
      </c>
      <c r="S80" s="20" t="s">
        <v>113</v>
      </c>
      <c r="U80" s="20" t="s">
        <v>117</v>
      </c>
      <c r="V80" s="19" t="s">
        <v>118</v>
      </c>
      <c r="W80" s="19" t="s">
        <v>119</v>
      </c>
      <c r="X80" s="19" t="s">
        <v>120</v>
      </c>
      <c r="Y80" s="19">
        <v>10041</v>
      </c>
      <c r="Z80" s="19" t="s">
        <v>121</v>
      </c>
      <c r="AA80" s="19" t="s">
        <v>122</v>
      </c>
      <c r="AB80" s="19" t="s">
        <v>123</v>
      </c>
      <c r="AF80" s="19">
        <v>100</v>
      </c>
      <c r="AI80" s="68">
        <v>45938</v>
      </c>
      <c r="AJ80" s="94" t="s">
        <v>124</v>
      </c>
    </row>
    <row r="81" spans="1:36">
      <c r="A81" s="19"/>
      <c r="B81" s="20"/>
      <c r="C81" s="20"/>
      <c r="D81" s="20"/>
      <c r="E81" s="20" t="s">
        <v>138</v>
      </c>
      <c r="F81" s="22" t="s">
        <v>139</v>
      </c>
      <c r="G81" s="22" t="s">
        <v>140</v>
      </c>
      <c r="H81" s="107">
        <v>45978</v>
      </c>
      <c r="J81" s="108">
        <v>13838</v>
      </c>
      <c r="K81" s="109" t="s">
        <v>113</v>
      </c>
      <c r="O81" s="20" t="s">
        <v>114</v>
      </c>
      <c r="P81" s="20" t="s">
        <v>115</v>
      </c>
      <c r="Q81" s="19">
        <v>1</v>
      </c>
      <c r="R81" s="59" t="s">
        <v>116</v>
      </c>
      <c r="S81" s="20" t="s">
        <v>113</v>
      </c>
      <c r="U81" s="20" t="s">
        <v>117</v>
      </c>
      <c r="V81" s="19" t="s">
        <v>118</v>
      </c>
      <c r="W81" s="19" t="s">
        <v>119</v>
      </c>
      <c r="X81" s="19" t="s">
        <v>120</v>
      </c>
      <c r="Y81" s="19">
        <v>10041</v>
      </c>
      <c r="Z81" s="19" t="s">
        <v>121</v>
      </c>
      <c r="AA81" s="19" t="s">
        <v>122</v>
      </c>
      <c r="AB81" s="19" t="s">
        <v>123</v>
      </c>
      <c r="AF81" s="19">
        <v>100</v>
      </c>
      <c r="AI81" s="68">
        <v>45938</v>
      </c>
      <c r="AJ81" s="94" t="s">
        <v>124</v>
      </c>
    </row>
    <row r="82" spans="1:36">
      <c r="A82" s="19"/>
      <c r="B82" s="20"/>
      <c r="C82" s="20"/>
      <c r="D82" s="20"/>
      <c r="E82" s="20" t="s">
        <v>138</v>
      </c>
      <c r="F82" s="22" t="s">
        <v>139</v>
      </c>
      <c r="G82" s="22" t="s">
        <v>140</v>
      </c>
      <c r="H82" s="107">
        <v>45979</v>
      </c>
      <c r="J82" s="108">
        <v>19810</v>
      </c>
      <c r="K82" s="109"/>
      <c r="O82" s="20" t="s">
        <v>114</v>
      </c>
      <c r="P82" s="20" t="s">
        <v>115</v>
      </c>
      <c r="Q82" s="19">
        <v>1</v>
      </c>
      <c r="R82" s="59" t="s">
        <v>116</v>
      </c>
      <c r="S82" s="20" t="s">
        <v>113</v>
      </c>
      <c r="U82" s="20" t="s">
        <v>117</v>
      </c>
      <c r="V82" s="19" t="s">
        <v>118</v>
      </c>
      <c r="W82" s="19" t="s">
        <v>119</v>
      </c>
      <c r="X82" s="19" t="s">
        <v>120</v>
      </c>
      <c r="Y82" s="19">
        <v>10041</v>
      </c>
      <c r="Z82" s="19" t="s">
        <v>121</v>
      </c>
      <c r="AA82" s="19" t="s">
        <v>122</v>
      </c>
      <c r="AB82" s="19" t="s">
        <v>123</v>
      </c>
      <c r="AF82" s="19">
        <v>100</v>
      </c>
      <c r="AI82" s="68">
        <v>45938</v>
      </c>
      <c r="AJ82" s="94" t="s">
        <v>124</v>
      </c>
    </row>
    <row r="83" spans="1:36">
      <c r="A83" s="19"/>
      <c r="B83" s="20"/>
      <c r="C83" s="20"/>
      <c r="D83" s="20"/>
      <c r="E83" s="20" t="s">
        <v>138</v>
      </c>
      <c r="F83" s="22" t="s">
        <v>139</v>
      </c>
      <c r="G83" s="22" t="s">
        <v>140</v>
      </c>
      <c r="H83" s="107">
        <v>45979</v>
      </c>
      <c r="J83" s="108">
        <v>152810</v>
      </c>
      <c r="K83" s="109" t="s">
        <v>113</v>
      </c>
      <c r="O83" s="20" t="s">
        <v>114</v>
      </c>
      <c r="P83" s="20" t="s">
        <v>115</v>
      </c>
      <c r="Q83" s="19">
        <v>1</v>
      </c>
      <c r="R83" s="59" t="s">
        <v>116</v>
      </c>
      <c r="S83" s="20" t="s">
        <v>113</v>
      </c>
      <c r="U83" s="20" t="s">
        <v>117</v>
      </c>
      <c r="V83" s="19" t="s">
        <v>118</v>
      </c>
      <c r="W83" s="19" t="s">
        <v>119</v>
      </c>
      <c r="X83" s="19" t="s">
        <v>120</v>
      </c>
      <c r="Y83" s="19">
        <v>10041</v>
      </c>
      <c r="Z83" s="19" t="s">
        <v>121</v>
      </c>
      <c r="AA83" s="19" t="s">
        <v>122</v>
      </c>
      <c r="AB83" s="19" t="s">
        <v>123</v>
      </c>
      <c r="AF83" s="19">
        <v>100</v>
      </c>
      <c r="AI83" s="68">
        <v>45938</v>
      </c>
      <c r="AJ83" s="94" t="s">
        <v>124</v>
      </c>
    </row>
    <row r="84" spans="1:36">
      <c r="A84" s="19"/>
      <c r="B84" s="20"/>
      <c r="C84" s="20"/>
      <c r="D84" s="20"/>
      <c r="E84" s="20" t="s">
        <v>138</v>
      </c>
      <c r="F84" s="22" t="s">
        <v>139</v>
      </c>
      <c r="G84" s="22" t="s">
        <v>140</v>
      </c>
      <c r="H84" s="107">
        <v>45980</v>
      </c>
      <c r="J84" s="108">
        <v>279160</v>
      </c>
      <c r="K84" s="109"/>
      <c r="O84" s="20" t="s">
        <v>114</v>
      </c>
      <c r="P84" s="20" t="s">
        <v>115</v>
      </c>
      <c r="Q84" s="19">
        <v>1</v>
      </c>
      <c r="R84" s="59" t="s">
        <v>116</v>
      </c>
      <c r="S84" s="20" t="s">
        <v>113</v>
      </c>
      <c r="U84" s="20" t="s">
        <v>117</v>
      </c>
      <c r="V84" s="19" t="s">
        <v>118</v>
      </c>
      <c r="W84" s="19" t="s">
        <v>119</v>
      </c>
      <c r="X84" s="19" t="s">
        <v>120</v>
      </c>
      <c r="Y84" s="19">
        <v>10041</v>
      </c>
      <c r="Z84" s="19" t="s">
        <v>121</v>
      </c>
      <c r="AA84" s="19" t="s">
        <v>122</v>
      </c>
      <c r="AB84" s="19" t="s">
        <v>123</v>
      </c>
      <c r="AF84" s="19">
        <v>100</v>
      </c>
      <c r="AI84" s="68">
        <v>45938</v>
      </c>
      <c r="AJ84" s="94" t="s">
        <v>124</v>
      </c>
    </row>
    <row r="85" spans="1:36">
      <c r="A85" s="19"/>
      <c r="B85" s="20"/>
      <c r="C85" s="20"/>
      <c r="D85" s="20"/>
      <c r="E85" s="20" t="s">
        <v>138</v>
      </c>
      <c r="F85" s="22" t="s">
        <v>139</v>
      </c>
      <c r="G85" s="22" t="s">
        <v>140</v>
      </c>
      <c r="H85" s="107">
        <v>45980</v>
      </c>
      <c r="J85" s="108">
        <v>560</v>
      </c>
      <c r="K85" s="109"/>
      <c r="O85" s="20" t="s">
        <v>114</v>
      </c>
      <c r="P85" s="20" t="s">
        <v>115</v>
      </c>
      <c r="Q85" s="19">
        <v>1</v>
      </c>
      <c r="R85" s="59" t="s">
        <v>116</v>
      </c>
      <c r="S85" s="20" t="s">
        <v>113</v>
      </c>
      <c r="U85" s="20" t="s">
        <v>117</v>
      </c>
      <c r="V85" s="19" t="s">
        <v>118</v>
      </c>
      <c r="W85" s="19" t="s">
        <v>119</v>
      </c>
      <c r="X85" s="19" t="s">
        <v>120</v>
      </c>
      <c r="Y85" s="19">
        <v>10041</v>
      </c>
      <c r="Z85" s="19" t="s">
        <v>121</v>
      </c>
      <c r="AA85" s="19" t="s">
        <v>122</v>
      </c>
      <c r="AB85" s="19" t="s">
        <v>123</v>
      </c>
      <c r="AF85" s="19">
        <v>100</v>
      </c>
      <c r="AI85" s="68">
        <v>45938</v>
      </c>
      <c r="AJ85" s="94" t="s">
        <v>124</v>
      </c>
    </row>
    <row r="86" spans="1:36">
      <c r="A86" s="19"/>
      <c r="B86" s="20"/>
      <c r="C86" s="20"/>
      <c r="D86" s="20"/>
      <c r="E86" s="20" t="s">
        <v>138</v>
      </c>
      <c r="F86" s="22" t="s">
        <v>139</v>
      </c>
      <c r="G86" s="22" t="s">
        <v>140</v>
      </c>
      <c r="H86" s="107">
        <v>45980</v>
      </c>
      <c r="J86" s="108">
        <v>245840</v>
      </c>
      <c r="K86" s="109" t="s">
        <v>113</v>
      </c>
      <c r="O86" s="20" t="s">
        <v>114</v>
      </c>
      <c r="P86" s="20" t="s">
        <v>115</v>
      </c>
      <c r="Q86" s="19">
        <v>1</v>
      </c>
      <c r="R86" s="59" t="s">
        <v>116</v>
      </c>
      <c r="S86" s="20" t="s">
        <v>113</v>
      </c>
      <c r="U86" s="20" t="s">
        <v>117</v>
      </c>
      <c r="V86" s="19" t="s">
        <v>118</v>
      </c>
      <c r="W86" s="19" t="s">
        <v>119</v>
      </c>
      <c r="X86" s="19" t="s">
        <v>120</v>
      </c>
      <c r="Y86" s="19">
        <v>10041</v>
      </c>
      <c r="Z86" s="19" t="s">
        <v>121</v>
      </c>
      <c r="AA86" s="19" t="s">
        <v>122</v>
      </c>
      <c r="AB86" s="19" t="s">
        <v>123</v>
      </c>
      <c r="AF86" s="19">
        <v>100</v>
      </c>
      <c r="AI86" s="68">
        <v>45938</v>
      </c>
      <c r="AJ86" s="94" t="s">
        <v>124</v>
      </c>
    </row>
    <row r="87" spans="1:36">
      <c r="A87" s="19"/>
      <c r="B87" s="20"/>
      <c r="C87" s="20"/>
      <c r="D87" s="20"/>
      <c r="E87" s="20" t="s">
        <v>138</v>
      </c>
      <c r="F87" s="22" t="s">
        <v>139</v>
      </c>
      <c r="G87" s="22" t="s">
        <v>140</v>
      </c>
      <c r="H87" s="107">
        <v>45981</v>
      </c>
      <c r="J87" s="108">
        <v>141820</v>
      </c>
      <c r="K87" s="109"/>
      <c r="O87" s="20" t="s">
        <v>114</v>
      </c>
      <c r="P87" s="20" t="s">
        <v>115</v>
      </c>
      <c r="Q87" s="19">
        <v>1</v>
      </c>
      <c r="R87" s="59" t="s">
        <v>116</v>
      </c>
      <c r="S87" s="20" t="s">
        <v>113</v>
      </c>
      <c r="U87" s="20" t="s">
        <v>117</v>
      </c>
      <c r="V87" s="19" t="s">
        <v>118</v>
      </c>
      <c r="W87" s="19" t="s">
        <v>119</v>
      </c>
      <c r="X87" s="19" t="s">
        <v>120</v>
      </c>
      <c r="Y87" s="19">
        <v>10041</v>
      </c>
      <c r="Z87" s="19" t="s">
        <v>121</v>
      </c>
      <c r="AA87" s="19" t="s">
        <v>122</v>
      </c>
      <c r="AB87" s="19" t="s">
        <v>123</v>
      </c>
      <c r="AF87" s="19">
        <v>100</v>
      </c>
      <c r="AI87" s="68">
        <v>45938</v>
      </c>
      <c r="AJ87" s="94" t="s">
        <v>124</v>
      </c>
    </row>
    <row r="88" spans="1:36">
      <c r="A88" s="19"/>
      <c r="B88" s="20"/>
      <c r="C88" s="20"/>
      <c r="D88" s="20"/>
      <c r="E88" s="20" t="s">
        <v>138</v>
      </c>
      <c r="F88" s="22" t="s">
        <v>139</v>
      </c>
      <c r="G88" s="22" t="s">
        <v>140</v>
      </c>
      <c r="H88" s="107">
        <v>45981</v>
      </c>
      <c r="J88" s="108">
        <v>420000</v>
      </c>
      <c r="K88" s="109" t="s">
        <v>113</v>
      </c>
      <c r="O88" s="20" t="s">
        <v>114</v>
      </c>
      <c r="P88" s="20" t="s">
        <v>115</v>
      </c>
      <c r="Q88" s="19">
        <v>1</v>
      </c>
      <c r="R88" s="59" t="s">
        <v>116</v>
      </c>
      <c r="S88" s="20" t="s">
        <v>113</v>
      </c>
      <c r="U88" s="20" t="s">
        <v>117</v>
      </c>
      <c r="V88" s="19" t="s">
        <v>118</v>
      </c>
      <c r="W88" s="19" t="s">
        <v>119</v>
      </c>
      <c r="X88" s="19" t="s">
        <v>120</v>
      </c>
      <c r="Y88" s="19">
        <v>10041</v>
      </c>
      <c r="Z88" s="19" t="s">
        <v>121</v>
      </c>
      <c r="AA88" s="19" t="s">
        <v>122</v>
      </c>
      <c r="AB88" s="19" t="s">
        <v>123</v>
      </c>
      <c r="AF88" s="19">
        <v>100</v>
      </c>
      <c r="AI88" s="68">
        <v>45938</v>
      </c>
      <c r="AJ88" s="94" t="s">
        <v>124</v>
      </c>
    </row>
    <row r="89" spans="1:36">
      <c r="A89" s="19"/>
      <c r="B89" s="20"/>
      <c r="C89" s="20"/>
      <c r="D89" s="20"/>
      <c r="E89" s="20" t="s">
        <v>138</v>
      </c>
      <c r="F89" s="22" t="s">
        <v>139</v>
      </c>
      <c r="G89" s="22" t="s">
        <v>140</v>
      </c>
      <c r="H89" s="107">
        <v>45982</v>
      </c>
      <c r="J89" s="108">
        <v>10000</v>
      </c>
      <c r="K89" s="109" t="s">
        <v>113</v>
      </c>
      <c r="O89" s="20" t="s">
        <v>114</v>
      </c>
      <c r="P89" s="20" t="s">
        <v>115</v>
      </c>
      <c r="Q89" s="19">
        <v>1</v>
      </c>
      <c r="R89" s="59" t="s">
        <v>116</v>
      </c>
      <c r="S89" s="20" t="s">
        <v>113</v>
      </c>
      <c r="U89" s="20" t="s">
        <v>117</v>
      </c>
      <c r="V89" s="19" t="s">
        <v>118</v>
      </c>
      <c r="W89" s="19" t="s">
        <v>119</v>
      </c>
      <c r="X89" s="19" t="s">
        <v>120</v>
      </c>
      <c r="Y89" s="19">
        <v>10041</v>
      </c>
      <c r="Z89" s="19" t="s">
        <v>121</v>
      </c>
      <c r="AA89" s="19" t="s">
        <v>122</v>
      </c>
      <c r="AB89" s="19" t="s">
        <v>123</v>
      </c>
      <c r="AF89" s="19">
        <v>100</v>
      </c>
      <c r="AI89" s="68">
        <v>45938</v>
      </c>
      <c r="AJ89" s="94" t="s">
        <v>124</v>
      </c>
    </row>
    <row r="90" spans="1:36">
      <c r="A90" s="19"/>
      <c r="B90" s="20"/>
      <c r="C90" s="20"/>
      <c r="D90" s="20"/>
      <c r="E90" s="20" t="s">
        <v>138</v>
      </c>
      <c r="F90" s="22" t="s">
        <v>139</v>
      </c>
      <c r="G90" s="22" t="s">
        <v>140</v>
      </c>
      <c r="H90" s="107">
        <v>45987</v>
      </c>
      <c r="J90" s="108">
        <v>1000</v>
      </c>
      <c r="K90" s="109" t="s">
        <v>113</v>
      </c>
      <c r="O90" s="20" t="s">
        <v>114</v>
      </c>
      <c r="P90" s="20" t="s">
        <v>115</v>
      </c>
      <c r="Q90" s="19">
        <v>1</v>
      </c>
      <c r="R90" s="59" t="s">
        <v>116</v>
      </c>
      <c r="S90" s="20" t="s">
        <v>113</v>
      </c>
      <c r="U90" s="20" t="s">
        <v>117</v>
      </c>
      <c r="V90" s="19" t="s">
        <v>118</v>
      </c>
      <c r="W90" s="19" t="s">
        <v>119</v>
      </c>
      <c r="X90" s="19" t="s">
        <v>120</v>
      </c>
      <c r="Y90" s="19">
        <v>10041</v>
      </c>
      <c r="Z90" s="19" t="s">
        <v>121</v>
      </c>
      <c r="AA90" s="19" t="s">
        <v>122</v>
      </c>
      <c r="AB90" s="19" t="s">
        <v>123</v>
      </c>
      <c r="AF90" s="19">
        <v>100</v>
      </c>
      <c r="AI90" s="68">
        <v>45938</v>
      </c>
      <c r="AJ90" s="94" t="s">
        <v>124</v>
      </c>
    </row>
    <row r="91" spans="1:36">
      <c r="A91" s="19"/>
      <c r="B91" s="20"/>
      <c r="C91" s="20"/>
      <c r="D91" s="20"/>
      <c r="E91" s="20" t="s">
        <v>138</v>
      </c>
      <c r="F91" s="22" t="s">
        <v>139</v>
      </c>
      <c r="G91" s="22" t="s">
        <v>140</v>
      </c>
      <c r="H91" s="107">
        <v>45989</v>
      </c>
      <c r="J91" s="108">
        <v>350000</v>
      </c>
      <c r="K91" s="109" t="s">
        <v>113</v>
      </c>
      <c r="O91" s="20" t="s">
        <v>114</v>
      </c>
      <c r="P91" s="20" t="s">
        <v>115</v>
      </c>
      <c r="Q91" s="19">
        <v>1</v>
      </c>
      <c r="R91" s="59" t="s">
        <v>116</v>
      </c>
      <c r="S91" s="20" t="s">
        <v>113</v>
      </c>
      <c r="U91" s="20" t="s">
        <v>117</v>
      </c>
      <c r="V91" s="19" t="s">
        <v>118</v>
      </c>
      <c r="W91" s="19" t="s">
        <v>119</v>
      </c>
      <c r="X91" s="19" t="s">
        <v>120</v>
      </c>
      <c r="Y91" s="19">
        <v>10041</v>
      </c>
      <c r="Z91" s="19" t="s">
        <v>121</v>
      </c>
      <c r="AA91" s="19" t="s">
        <v>122</v>
      </c>
      <c r="AB91" s="19" t="s">
        <v>123</v>
      </c>
      <c r="AF91" s="19">
        <v>100</v>
      </c>
      <c r="AI91" s="68">
        <v>45938</v>
      </c>
      <c r="AJ91" s="94" t="s">
        <v>124</v>
      </c>
    </row>
    <row r="92" spans="1:36">
      <c r="A92" s="19"/>
      <c r="B92" s="20"/>
      <c r="C92" s="20"/>
      <c r="D92" s="20"/>
      <c r="E92" s="20" t="s">
        <v>138</v>
      </c>
      <c r="F92" s="22" t="s">
        <v>139</v>
      </c>
      <c r="G92" s="22" t="s">
        <v>140</v>
      </c>
      <c r="H92" s="107">
        <v>45993</v>
      </c>
      <c r="J92" s="108">
        <v>405103</v>
      </c>
      <c r="K92" s="109">
        <f>SUM(J51:J92)</f>
        <v>7106185</v>
      </c>
      <c r="O92" s="20" t="s">
        <v>114</v>
      </c>
      <c r="P92" s="20" t="s">
        <v>115</v>
      </c>
      <c r="Q92" s="19">
        <v>1</v>
      </c>
      <c r="R92" s="59" t="s">
        <v>116</v>
      </c>
      <c r="S92" s="20" t="s">
        <v>113</v>
      </c>
      <c r="U92" s="20" t="s">
        <v>117</v>
      </c>
      <c r="V92" s="19" t="s">
        <v>118</v>
      </c>
      <c r="W92" s="19" t="s">
        <v>119</v>
      </c>
      <c r="X92" s="19" t="s">
        <v>120</v>
      </c>
      <c r="Y92" s="19">
        <v>10041</v>
      </c>
      <c r="Z92" s="19" t="s">
        <v>121</v>
      </c>
      <c r="AA92" s="19" t="s">
        <v>122</v>
      </c>
      <c r="AB92" s="19" t="s">
        <v>123</v>
      </c>
      <c r="AF92" s="19">
        <v>100</v>
      </c>
      <c r="AI92" s="68">
        <v>45938</v>
      </c>
      <c r="AJ92" s="94" t="s">
        <v>124</v>
      </c>
    </row>
    <row r="93" spans="1:36" ht="12.75">
      <c r="A93" s="19"/>
      <c r="B93" s="20"/>
      <c r="C93" s="20"/>
      <c r="D93" s="20"/>
      <c r="E93" s="20"/>
    </row>
    <row r="94" spans="1:36" ht="12.95">
      <c r="A94" s="19"/>
      <c r="B94" s="20"/>
      <c r="C94" s="21"/>
      <c r="D94" s="20"/>
      <c r="E94" s="61" t="s">
        <v>141</v>
      </c>
      <c r="F94" s="20"/>
      <c r="G94" s="22"/>
      <c r="H94" s="21"/>
      <c r="I94" s="22"/>
      <c r="J94" s="23"/>
      <c r="K94" s="62">
        <f>SUM(K51:K93)</f>
        <v>7106185</v>
      </c>
      <c r="L94" s="23"/>
      <c r="M94" s="23"/>
      <c r="O94" s="20"/>
      <c r="P94" s="20"/>
      <c r="R94" s="60"/>
      <c r="U94" s="22"/>
    </row>
    <row r="95" spans="1:36" ht="12.95">
      <c r="A95" s="96"/>
      <c r="B95" s="97"/>
      <c r="C95" s="98"/>
      <c r="D95" s="97"/>
      <c r="E95" s="97"/>
      <c r="F95" s="97"/>
      <c r="G95" s="99"/>
      <c r="H95" s="98"/>
      <c r="I95" s="99"/>
      <c r="J95" s="100"/>
      <c r="K95" s="100"/>
      <c r="L95" s="100"/>
      <c r="M95" s="100"/>
      <c r="N95" s="101"/>
      <c r="O95" s="97"/>
      <c r="P95" s="97"/>
      <c r="Q95" s="101"/>
      <c r="R95" s="102"/>
      <c r="S95" s="101"/>
      <c r="T95" s="101"/>
      <c r="U95" s="99"/>
      <c r="V95" s="101"/>
      <c r="W95" s="101"/>
      <c r="X95" s="101"/>
      <c r="Y95" s="101"/>
      <c r="Z95" s="101"/>
      <c r="AA95" s="101"/>
      <c r="AB95" s="101"/>
      <c r="AC95" s="101"/>
      <c r="AD95" s="101"/>
      <c r="AE95" s="101"/>
      <c r="AF95" s="101"/>
      <c r="AG95" s="101"/>
      <c r="AH95" s="101"/>
      <c r="AI95" s="101"/>
      <c r="AJ95" s="101"/>
    </row>
    <row r="96" spans="1:36" ht="15">
      <c r="A96" s="19" t="s">
        <v>142</v>
      </c>
      <c r="B96" s="20" t="s">
        <v>143</v>
      </c>
      <c r="C96" s="20" t="s">
        <v>143</v>
      </c>
      <c r="D96" s="20" t="s">
        <v>143</v>
      </c>
      <c r="E96" s="20" t="s">
        <v>144</v>
      </c>
      <c r="F96" s="20" t="s">
        <v>111</v>
      </c>
      <c r="G96" s="22" t="s">
        <v>140</v>
      </c>
      <c r="H96" s="21">
        <v>45938</v>
      </c>
      <c r="I96" s="22"/>
      <c r="J96" s="23">
        <v>3648333</v>
      </c>
      <c r="K96" s="23">
        <f>SUM(J96)</f>
        <v>3648333</v>
      </c>
      <c r="L96" s="23"/>
      <c r="M96" s="23"/>
      <c r="N96" s="20" t="s">
        <v>145</v>
      </c>
      <c r="O96" s="20" t="s">
        <v>114</v>
      </c>
      <c r="P96" s="20" t="s">
        <v>115</v>
      </c>
      <c r="Q96" s="18">
        <v>2</v>
      </c>
      <c r="R96" s="60" t="s">
        <v>128</v>
      </c>
      <c r="U96" s="22" t="s">
        <v>129</v>
      </c>
      <c r="V96" s="18" t="s">
        <v>130</v>
      </c>
      <c r="W96" s="18" t="s">
        <v>119</v>
      </c>
      <c r="X96" s="18" t="s">
        <v>120</v>
      </c>
      <c r="Y96" s="18">
        <v>10175</v>
      </c>
      <c r="Z96" s="18" t="s">
        <v>121</v>
      </c>
      <c r="AC96" s="66"/>
      <c r="AI96" s="68">
        <v>45938</v>
      </c>
      <c r="AJ96" s="94" t="s">
        <v>124</v>
      </c>
    </row>
    <row r="97" spans="1:36" ht="15">
      <c r="A97" s="19"/>
      <c r="B97" s="20"/>
      <c r="C97" s="20"/>
      <c r="D97" s="20"/>
      <c r="E97" s="20"/>
      <c r="F97" s="20" t="s">
        <v>111</v>
      </c>
      <c r="G97" s="22" t="s">
        <v>140</v>
      </c>
      <c r="H97" s="21">
        <v>45938</v>
      </c>
      <c r="I97" s="22"/>
      <c r="J97" s="23">
        <v>50000</v>
      </c>
      <c r="K97" s="23">
        <f t="shared" ref="K97:K101" si="0">SUM(J97)</f>
        <v>50000</v>
      </c>
      <c r="L97" s="23"/>
      <c r="M97" s="23"/>
      <c r="N97" s="20" t="s">
        <v>145</v>
      </c>
      <c r="O97" s="20" t="s">
        <v>114</v>
      </c>
      <c r="P97" s="20" t="s">
        <v>115</v>
      </c>
      <c r="Q97" s="18">
        <v>3</v>
      </c>
      <c r="R97" s="60" t="s">
        <v>146</v>
      </c>
      <c r="U97" s="22" t="s">
        <v>147</v>
      </c>
      <c r="V97" s="18" t="s">
        <v>130</v>
      </c>
      <c r="W97" s="18" t="s">
        <v>119</v>
      </c>
      <c r="X97" s="18" t="s">
        <v>120</v>
      </c>
      <c r="Y97" s="18">
        <v>10175</v>
      </c>
      <c r="Z97" s="18" t="s">
        <v>121</v>
      </c>
      <c r="AC97" s="66"/>
      <c r="AI97" s="68">
        <v>45938</v>
      </c>
      <c r="AJ97" s="94" t="s">
        <v>124</v>
      </c>
    </row>
    <row r="98" spans="1:36" ht="15">
      <c r="A98" s="19"/>
      <c r="B98" s="20"/>
      <c r="C98" s="20"/>
      <c r="D98" s="20"/>
      <c r="E98" s="20"/>
      <c r="F98" s="20" t="s">
        <v>111</v>
      </c>
      <c r="G98" s="22" t="s">
        <v>140</v>
      </c>
      <c r="H98" s="21">
        <v>45938</v>
      </c>
      <c r="I98" s="22"/>
      <c r="J98" s="23">
        <v>40000</v>
      </c>
      <c r="K98" s="23">
        <f t="shared" si="0"/>
        <v>40000</v>
      </c>
      <c r="L98" s="23"/>
      <c r="M98" s="23"/>
      <c r="N98" s="20" t="s">
        <v>145</v>
      </c>
      <c r="O98" s="20" t="s">
        <v>114</v>
      </c>
      <c r="P98" s="20" t="s">
        <v>115</v>
      </c>
      <c r="Q98" s="18">
        <v>4</v>
      </c>
      <c r="R98" s="60" t="s">
        <v>148</v>
      </c>
      <c r="U98" s="22" t="s">
        <v>147</v>
      </c>
      <c r="V98" s="18" t="s">
        <v>130</v>
      </c>
      <c r="W98" s="18" t="s">
        <v>119</v>
      </c>
      <c r="X98" s="18" t="s">
        <v>120</v>
      </c>
      <c r="Y98" s="18">
        <v>10175</v>
      </c>
      <c r="Z98" s="18" t="s">
        <v>121</v>
      </c>
      <c r="AC98" s="66"/>
      <c r="AI98" s="68">
        <v>45938</v>
      </c>
      <c r="AJ98" s="94" t="s">
        <v>124</v>
      </c>
    </row>
    <row r="99" spans="1:36" ht="15">
      <c r="A99" s="19"/>
      <c r="B99" s="20"/>
      <c r="C99" s="20"/>
      <c r="D99" s="20"/>
      <c r="E99" s="20"/>
      <c r="F99" s="20" t="s">
        <v>111</v>
      </c>
      <c r="G99" s="22" t="s">
        <v>140</v>
      </c>
      <c r="H99" s="21">
        <v>45938</v>
      </c>
      <c r="I99" s="22"/>
      <c r="J99" s="23">
        <v>35000</v>
      </c>
      <c r="K99" s="23">
        <f t="shared" si="0"/>
        <v>35000</v>
      </c>
      <c r="L99" s="23"/>
      <c r="M99" s="23"/>
      <c r="N99" s="20" t="s">
        <v>145</v>
      </c>
      <c r="O99" s="20" t="s">
        <v>114</v>
      </c>
      <c r="P99" s="20" t="s">
        <v>115</v>
      </c>
      <c r="Q99" s="18">
        <v>5</v>
      </c>
      <c r="R99" s="60" t="s">
        <v>149</v>
      </c>
      <c r="U99" s="22" t="s">
        <v>147</v>
      </c>
      <c r="V99" s="18" t="s">
        <v>130</v>
      </c>
      <c r="W99" s="18" t="s">
        <v>119</v>
      </c>
      <c r="X99" s="18" t="s">
        <v>120</v>
      </c>
      <c r="Y99" s="18">
        <v>10175</v>
      </c>
      <c r="Z99" s="18" t="s">
        <v>121</v>
      </c>
      <c r="AC99" s="66"/>
      <c r="AI99" s="68">
        <v>45938</v>
      </c>
      <c r="AJ99" s="94" t="s">
        <v>124</v>
      </c>
    </row>
    <row r="100" spans="1:36" ht="15">
      <c r="A100" s="19"/>
      <c r="B100" s="20"/>
      <c r="C100" s="20"/>
      <c r="D100" s="20"/>
      <c r="E100" s="20"/>
      <c r="F100" s="20" t="s">
        <v>111</v>
      </c>
      <c r="G100" s="22" t="s">
        <v>140</v>
      </c>
      <c r="H100" s="21">
        <v>45938</v>
      </c>
      <c r="I100" s="22"/>
      <c r="J100" s="23">
        <v>30000</v>
      </c>
      <c r="K100" s="23">
        <f t="shared" si="0"/>
        <v>30000</v>
      </c>
      <c r="L100" s="23"/>
      <c r="M100" s="23"/>
      <c r="N100" s="20" t="s">
        <v>145</v>
      </c>
      <c r="O100" s="20" t="s">
        <v>114</v>
      </c>
      <c r="P100" s="20" t="s">
        <v>115</v>
      </c>
      <c r="Q100" s="18">
        <v>6</v>
      </c>
      <c r="R100" s="60" t="s">
        <v>150</v>
      </c>
      <c r="U100" s="22" t="s">
        <v>147</v>
      </c>
      <c r="V100" s="18" t="s">
        <v>130</v>
      </c>
      <c r="W100" s="18" t="s">
        <v>119</v>
      </c>
      <c r="X100" s="18" t="s">
        <v>120</v>
      </c>
      <c r="Y100" s="18">
        <v>10175</v>
      </c>
      <c r="Z100" s="18" t="s">
        <v>121</v>
      </c>
      <c r="AC100" s="66"/>
      <c r="AI100" s="68">
        <v>45938</v>
      </c>
      <c r="AJ100" s="94" t="s">
        <v>124</v>
      </c>
    </row>
    <row r="101" spans="1:36" ht="15">
      <c r="A101" s="19"/>
      <c r="B101" s="20"/>
      <c r="C101" s="20"/>
      <c r="D101" s="20"/>
      <c r="E101" s="20"/>
      <c r="F101" s="20" t="s">
        <v>111</v>
      </c>
      <c r="G101" s="22" t="s">
        <v>140</v>
      </c>
      <c r="H101" s="21">
        <v>45938</v>
      </c>
      <c r="I101" s="22"/>
      <c r="J101" s="23">
        <v>30000</v>
      </c>
      <c r="K101" s="23">
        <f t="shared" si="0"/>
        <v>30000</v>
      </c>
      <c r="L101" s="23"/>
      <c r="M101" s="23"/>
      <c r="N101" s="20" t="s">
        <v>145</v>
      </c>
      <c r="O101" s="20" t="s">
        <v>114</v>
      </c>
      <c r="P101" s="20" t="s">
        <v>115</v>
      </c>
      <c r="Q101" s="18">
        <v>7</v>
      </c>
      <c r="R101" s="60" t="s">
        <v>151</v>
      </c>
      <c r="U101" s="22" t="s">
        <v>147</v>
      </c>
      <c r="V101" s="18" t="s">
        <v>130</v>
      </c>
      <c r="W101" s="18" t="s">
        <v>119</v>
      </c>
      <c r="X101" s="18" t="s">
        <v>120</v>
      </c>
      <c r="Y101" s="18">
        <v>10175</v>
      </c>
      <c r="Z101" s="18" t="s">
        <v>121</v>
      </c>
      <c r="AC101" s="66"/>
      <c r="AI101" s="68">
        <v>45938</v>
      </c>
      <c r="AJ101" s="94" t="s">
        <v>124</v>
      </c>
    </row>
    <row r="102" spans="1:36" ht="15">
      <c r="A102" s="19"/>
      <c r="B102" s="20"/>
      <c r="C102" s="20"/>
      <c r="D102" s="20"/>
      <c r="E102" s="20"/>
      <c r="F102" s="20"/>
      <c r="G102" s="22"/>
      <c r="H102" s="21"/>
      <c r="I102" s="22"/>
      <c r="J102" s="23"/>
      <c r="K102" s="23"/>
      <c r="L102" s="23"/>
      <c r="M102" s="23"/>
      <c r="N102" s="20"/>
      <c r="O102" s="20"/>
      <c r="P102" s="20"/>
      <c r="R102" s="60"/>
      <c r="U102" s="22"/>
      <c r="AC102" s="66"/>
      <c r="AI102" s="68"/>
      <c r="AJ102" s="94"/>
    </row>
    <row r="103" spans="1:36" ht="15">
      <c r="A103" s="19"/>
      <c r="B103" s="20"/>
      <c r="C103" s="20"/>
      <c r="D103" s="20"/>
      <c r="E103" s="20"/>
      <c r="F103" s="20"/>
      <c r="G103" s="22"/>
      <c r="H103" s="21"/>
      <c r="I103" s="22"/>
      <c r="J103" s="23"/>
      <c r="K103" s="23"/>
      <c r="L103" s="23"/>
      <c r="M103" s="23"/>
      <c r="N103" s="22"/>
      <c r="O103" s="20"/>
      <c r="P103" s="20"/>
      <c r="R103" s="60"/>
      <c r="U103" s="22"/>
      <c r="AC103" s="66"/>
      <c r="AI103" s="68"/>
    </row>
    <row r="104" spans="1:36" ht="12.95">
      <c r="A104" s="19"/>
      <c r="B104" s="20"/>
      <c r="C104" s="21"/>
      <c r="D104" s="20"/>
      <c r="E104" s="61" t="s">
        <v>141</v>
      </c>
      <c r="F104" s="20"/>
      <c r="G104" s="22"/>
      <c r="H104" s="21"/>
      <c r="I104" s="22"/>
      <c r="J104" s="23"/>
      <c r="K104" s="62">
        <f>SUM(K96:K103)</f>
        <v>3833333</v>
      </c>
      <c r="L104" s="23"/>
      <c r="M104" s="23"/>
      <c r="O104" s="20"/>
      <c r="P104" s="20"/>
      <c r="R104" s="60"/>
      <c r="U104" s="22"/>
    </row>
    <row r="105" spans="1:36" ht="12.95">
      <c r="A105" s="96"/>
      <c r="B105" s="97"/>
      <c r="C105" s="98"/>
      <c r="D105" s="97"/>
      <c r="E105" s="97"/>
      <c r="F105" s="97"/>
      <c r="G105" s="99"/>
      <c r="H105" s="98"/>
      <c r="I105" s="99"/>
      <c r="J105" s="100"/>
      <c r="K105" s="100"/>
      <c r="L105" s="100"/>
      <c r="M105" s="100"/>
      <c r="N105" s="101"/>
      <c r="O105" s="97"/>
      <c r="P105" s="97"/>
      <c r="Q105" s="101"/>
      <c r="R105" s="102"/>
      <c r="S105" s="101"/>
      <c r="T105" s="101"/>
      <c r="U105" s="99"/>
      <c r="V105" s="101"/>
      <c r="W105" s="101"/>
      <c r="X105" s="101"/>
      <c r="Y105" s="101"/>
      <c r="Z105" s="101"/>
      <c r="AA105" s="101"/>
      <c r="AB105" s="101"/>
      <c r="AC105" s="101"/>
      <c r="AD105" s="101"/>
      <c r="AE105" s="101"/>
      <c r="AF105" s="101"/>
      <c r="AG105" s="101"/>
      <c r="AH105" s="101"/>
      <c r="AI105" s="101"/>
      <c r="AJ105" s="101"/>
    </row>
    <row r="106" spans="1:36">
      <c r="A106" s="19" t="s">
        <v>152</v>
      </c>
      <c r="B106" s="20" t="s">
        <v>153</v>
      </c>
      <c r="C106" s="20" t="s">
        <v>26</v>
      </c>
      <c r="D106" s="20" t="s">
        <v>154</v>
      </c>
      <c r="E106" s="20" t="s">
        <v>155</v>
      </c>
      <c r="F106" s="20" t="s">
        <v>139</v>
      </c>
      <c r="G106" s="22" t="s">
        <v>140</v>
      </c>
      <c r="H106" s="21">
        <v>45967</v>
      </c>
      <c r="I106" s="22"/>
      <c r="J106" s="108">
        <v>66545</v>
      </c>
      <c r="K106" s="24"/>
      <c r="L106" s="23"/>
      <c r="M106" s="23"/>
      <c r="O106" s="20" t="s">
        <v>114</v>
      </c>
      <c r="P106" s="20" t="s">
        <v>115</v>
      </c>
      <c r="Q106" s="19">
        <v>1</v>
      </c>
      <c r="R106" s="59" t="s">
        <v>116</v>
      </c>
      <c r="S106" s="20" t="s">
        <v>113</v>
      </c>
      <c r="U106" s="20" t="s">
        <v>117</v>
      </c>
      <c r="V106" s="19" t="s">
        <v>118</v>
      </c>
      <c r="W106" s="19" t="s">
        <v>119</v>
      </c>
      <c r="X106" s="19" t="s">
        <v>120</v>
      </c>
      <c r="Y106" s="19">
        <v>10041</v>
      </c>
      <c r="Z106" s="19" t="s">
        <v>121</v>
      </c>
      <c r="AA106" s="19" t="s">
        <v>122</v>
      </c>
      <c r="AB106" s="19" t="s">
        <v>123</v>
      </c>
      <c r="AF106" s="19">
        <v>100</v>
      </c>
      <c r="AI106" s="68">
        <v>45938</v>
      </c>
      <c r="AJ106" s="94" t="s">
        <v>124</v>
      </c>
    </row>
    <row r="107" spans="1:36">
      <c r="A107" s="19"/>
      <c r="B107" s="20"/>
      <c r="C107" s="20"/>
      <c r="D107" s="20"/>
      <c r="E107" s="20" t="s">
        <v>155</v>
      </c>
      <c r="F107" s="20" t="s">
        <v>139</v>
      </c>
      <c r="G107" s="22" t="s">
        <v>140</v>
      </c>
      <c r="H107" s="21">
        <v>45967</v>
      </c>
      <c r="I107" s="22"/>
      <c r="J107" s="108">
        <v>31012</v>
      </c>
      <c r="K107" s="24"/>
      <c r="L107" s="23"/>
      <c r="M107" s="23"/>
      <c r="O107" s="20" t="s">
        <v>114</v>
      </c>
      <c r="P107" s="20" t="s">
        <v>115</v>
      </c>
      <c r="Q107" s="19">
        <v>1</v>
      </c>
      <c r="R107" s="59" t="s">
        <v>116</v>
      </c>
      <c r="S107" s="20" t="s">
        <v>113</v>
      </c>
      <c r="U107" s="20" t="s">
        <v>117</v>
      </c>
      <c r="V107" s="19" t="s">
        <v>118</v>
      </c>
      <c r="W107" s="19" t="s">
        <v>119</v>
      </c>
      <c r="X107" s="19" t="s">
        <v>120</v>
      </c>
      <c r="Y107" s="19">
        <v>10041</v>
      </c>
      <c r="Z107" s="19" t="s">
        <v>121</v>
      </c>
      <c r="AA107" s="19" t="s">
        <v>122</v>
      </c>
      <c r="AB107" s="19" t="s">
        <v>123</v>
      </c>
      <c r="AF107" s="19">
        <v>100</v>
      </c>
      <c r="AI107" s="68">
        <v>45938</v>
      </c>
      <c r="AJ107" s="94" t="s">
        <v>124</v>
      </c>
    </row>
    <row r="108" spans="1:36">
      <c r="A108" s="19"/>
      <c r="B108" s="20"/>
      <c r="C108" s="20"/>
      <c r="D108" s="20"/>
      <c r="E108" s="20" t="s">
        <v>155</v>
      </c>
      <c r="F108" s="20" t="s">
        <v>139</v>
      </c>
      <c r="G108" s="22" t="s">
        <v>140</v>
      </c>
      <c r="H108" s="21">
        <v>45967</v>
      </c>
      <c r="I108" s="22"/>
      <c r="J108" s="108">
        <v>133947</v>
      </c>
      <c r="K108" s="24"/>
      <c r="L108" s="23"/>
      <c r="M108" s="23"/>
      <c r="O108" s="20" t="s">
        <v>114</v>
      </c>
      <c r="P108" s="20" t="s">
        <v>115</v>
      </c>
      <c r="Q108" s="19">
        <v>1</v>
      </c>
      <c r="R108" s="59" t="s">
        <v>116</v>
      </c>
      <c r="S108" s="20" t="s">
        <v>113</v>
      </c>
      <c r="U108" s="20" t="s">
        <v>117</v>
      </c>
      <c r="V108" s="19" t="s">
        <v>118</v>
      </c>
      <c r="W108" s="19" t="s">
        <v>119</v>
      </c>
      <c r="X108" s="19" t="s">
        <v>120</v>
      </c>
      <c r="Y108" s="19">
        <v>10041</v>
      </c>
      <c r="Z108" s="19" t="s">
        <v>121</v>
      </c>
      <c r="AA108" s="19" t="s">
        <v>122</v>
      </c>
      <c r="AB108" s="19" t="s">
        <v>123</v>
      </c>
      <c r="AF108" s="19">
        <v>100</v>
      </c>
      <c r="AI108" s="68">
        <v>45938</v>
      </c>
      <c r="AJ108" s="94" t="s">
        <v>124</v>
      </c>
    </row>
    <row r="109" spans="1:36">
      <c r="A109" s="19"/>
      <c r="B109" s="20"/>
      <c r="C109" s="20"/>
      <c r="D109" s="20"/>
      <c r="E109" s="20" t="s">
        <v>155</v>
      </c>
      <c r="F109" s="20" t="s">
        <v>139</v>
      </c>
      <c r="G109" s="22" t="s">
        <v>140</v>
      </c>
      <c r="H109" s="21">
        <v>45967</v>
      </c>
      <c r="I109" s="22"/>
      <c r="J109" s="108">
        <v>269825</v>
      </c>
      <c r="K109" s="24"/>
      <c r="L109" s="23"/>
      <c r="M109" s="23"/>
      <c r="O109" s="20" t="s">
        <v>114</v>
      </c>
      <c r="P109" s="20" t="s">
        <v>115</v>
      </c>
      <c r="Q109" s="19">
        <v>1</v>
      </c>
      <c r="R109" s="59" t="s">
        <v>116</v>
      </c>
      <c r="S109" s="20" t="s">
        <v>113</v>
      </c>
      <c r="U109" s="20" t="s">
        <v>117</v>
      </c>
      <c r="V109" s="19" t="s">
        <v>118</v>
      </c>
      <c r="W109" s="19" t="s">
        <v>119</v>
      </c>
      <c r="X109" s="19" t="s">
        <v>120</v>
      </c>
      <c r="Y109" s="19">
        <v>10041</v>
      </c>
      <c r="Z109" s="19" t="s">
        <v>121</v>
      </c>
      <c r="AA109" s="19" t="s">
        <v>122</v>
      </c>
      <c r="AB109" s="19" t="s">
        <v>123</v>
      </c>
      <c r="AF109" s="19">
        <v>100</v>
      </c>
      <c r="AI109" s="68">
        <v>45938</v>
      </c>
      <c r="AJ109" s="94" t="s">
        <v>124</v>
      </c>
    </row>
    <row r="110" spans="1:36">
      <c r="A110" s="19"/>
      <c r="B110" s="20"/>
      <c r="C110" s="20"/>
      <c r="D110" s="20"/>
      <c r="E110" s="20" t="s">
        <v>155</v>
      </c>
      <c r="F110" s="20" t="s">
        <v>139</v>
      </c>
      <c r="G110" s="22" t="s">
        <v>140</v>
      </c>
      <c r="H110" s="21">
        <v>45967</v>
      </c>
      <c r="I110" s="22"/>
      <c r="J110" s="108">
        <v>140000</v>
      </c>
      <c r="K110" s="24"/>
      <c r="L110" s="23"/>
      <c r="M110" s="23"/>
      <c r="O110" s="20" t="s">
        <v>114</v>
      </c>
      <c r="P110" s="20" t="s">
        <v>115</v>
      </c>
      <c r="Q110" s="19">
        <v>1</v>
      </c>
      <c r="R110" s="59" t="s">
        <v>116</v>
      </c>
      <c r="S110" s="20" t="s">
        <v>113</v>
      </c>
      <c r="U110" s="20" t="s">
        <v>117</v>
      </c>
      <c r="V110" s="19" t="s">
        <v>118</v>
      </c>
      <c r="W110" s="19" t="s">
        <v>119</v>
      </c>
      <c r="X110" s="19" t="s">
        <v>120</v>
      </c>
      <c r="Y110" s="19">
        <v>10041</v>
      </c>
      <c r="Z110" s="19" t="s">
        <v>121</v>
      </c>
      <c r="AA110" s="19" t="s">
        <v>122</v>
      </c>
      <c r="AB110" s="19" t="s">
        <v>123</v>
      </c>
      <c r="AF110" s="19">
        <v>100</v>
      </c>
      <c r="AI110" s="68">
        <v>45938</v>
      </c>
      <c r="AJ110" s="94" t="s">
        <v>124</v>
      </c>
    </row>
    <row r="111" spans="1:36">
      <c r="A111" s="19"/>
      <c r="B111" s="20"/>
      <c r="C111" s="20"/>
      <c r="D111" s="20"/>
      <c r="E111" s="20" t="s">
        <v>155</v>
      </c>
      <c r="F111" s="20" t="s">
        <v>139</v>
      </c>
      <c r="G111" s="22" t="s">
        <v>140</v>
      </c>
      <c r="H111" s="21">
        <v>45967</v>
      </c>
      <c r="I111" s="22"/>
      <c r="J111" s="108">
        <v>35000</v>
      </c>
      <c r="K111" s="24"/>
      <c r="L111" s="23"/>
      <c r="M111" s="23"/>
      <c r="O111" s="20" t="s">
        <v>114</v>
      </c>
      <c r="P111" s="20" t="s">
        <v>115</v>
      </c>
      <c r="Q111" s="19">
        <v>1</v>
      </c>
      <c r="R111" s="59" t="s">
        <v>116</v>
      </c>
      <c r="S111" s="20" t="s">
        <v>113</v>
      </c>
      <c r="U111" s="20" t="s">
        <v>117</v>
      </c>
      <c r="V111" s="19" t="s">
        <v>118</v>
      </c>
      <c r="W111" s="19" t="s">
        <v>119</v>
      </c>
      <c r="X111" s="19" t="s">
        <v>120</v>
      </c>
      <c r="Y111" s="19">
        <v>10041</v>
      </c>
      <c r="Z111" s="19" t="s">
        <v>121</v>
      </c>
      <c r="AA111" s="19" t="s">
        <v>122</v>
      </c>
      <c r="AB111" s="19" t="s">
        <v>123</v>
      </c>
      <c r="AF111" s="19">
        <v>100</v>
      </c>
      <c r="AI111" s="68">
        <v>45938</v>
      </c>
      <c r="AJ111" s="94" t="s">
        <v>124</v>
      </c>
    </row>
    <row r="112" spans="1:36">
      <c r="A112" s="19"/>
      <c r="B112" s="20"/>
      <c r="C112" s="20"/>
      <c r="D112" s="20"/>
      <c r="E112" s="20" t="s">
        <v>155</v>
      </c>
      <c r="F112" s="20" t="s">
        <v>139</v>
      </c>
      <c r="G112" s="22" t="s">
        <v>140</v>
      </c>
      <c r="H112" s="21">
        <v>45967</v>
      </c>
      <c r="I112" s="22"/>
      <c r="J112" s="108">
        <v>35000</v>
      </c>
      <c r="K112" s="24"/>
      <c r="L112" s="23"/>
      <c r="M112" s="23"/>
      <c r="O112" s="20" t="s">
        <v>114</v>
      </c>
      <c r="P112" s="20" t="s">
        <v>115</v>
      </c>
      <c r="Q112" s="19">
        <v>1</v>
      </c>
      <c r="R112" s="59" t="s">
        <v>116</v>
      </c>
      <c r="S112" s="20" t="s">
        <v>113</v>
      </c>
      <c r="U112" s="20" t="s">
        <v>117</v>
      </c>
      <c r="V112" s="19" t="s">
        <v>118</v>
      </c>
      <c r="W112" s="19" t="s">
        <v>119</v>
      </c>
      <c r="X112" s="19" t="s">
        <v>120</v>
      </c>
      <c r="Y112" s="19">
        <v>10041</v>
      </c>
      <c r="Z112" s="19" t="s">
        <v>121</v>
      </c>
      <c r="AA112" s="19" t="s">
        <v>122</v>
      </c>
      <c r="AB112" s="19" t="s">
        <v>123</v>
      </c>
      <c r="AF112" s="19">
        <v>100</v>
      </c>
      <c r="AI112" s="68">
        <v>45938</v>
      </c>
      <c r="AJ112" s="94" t="s">
        <v>124</v>
      </c>
    </row>
    <row r="113" spans="1:36">
      <c r="A113" s="19"/>
      <c r="B113" s="20"/>
      <c r="C113" s="20"/>
      <c r="D113" s="20"/>
      <c r="E113" s="20" t="s">
        <v>155</v>
      </c>
      <c r="F113" s="20" t="s">
        <v>139</v>
      </c>
      <c r="G113" s="22" t="s">
        <v>140</v>
      </c>
      <c r="H113" s="21">
        <v>45967</v>
      </c>
      <c r="I113" s="22"/>
      <c r="J113" s="108">
        <v>178682</v>
      </c>
      <c r="K113" s="24"/>
      <c r="L113" s="23"/>
      <c r="M113" s="23"/>
      <c r="O113" s="20" t="s">
        <v>114</v>
      </c>
      <c r="P113" s="20" t="s">
        <v>115</v>
      </c>
      <c r="Q113" s="19">
        <v>1</v>
      </c>
      <c r="R113" s="59" t="s">
        <v>116</v>
      </c>
      <c r="S113" s="20" t="s">
        <v>113</v>
      </c>
      <c r="U113" s="20" t="s">
        <v>117</v>
      </c>
      <c r="V113" s="19" t="s">
        <v>118</v>
      </c>
      <c r="W113" s="19" t="s">
        <v>119</v>
      </c>
      <c r="X113" s="19" t="s">
        <v>120</v>
      </c>
      <c r="Y113" s="19">
        <v>10041</v>
      </c>
      <c r="Z113" s="19" t="s">
        <v>121</v>
      </c>
      <c r="AA113" s="19" t="s">
        <v>122</v>
      </c>
      <c r="AB113" s="19" t="s">
        <v>123</v>
      </c>
      <c r="AF113" s="19">
        <v>100</v>
      </c>
      <c r="AI113" s="68">
        <v>45938</v>
      </c>
      <c r="AJ113" s="94" t="s">
        <v>124</v>
      </c>
    </row>
    <row r="114" spans="1:36">
      <c r="A114" s="19"/>
      <c r="B114" s="20"/>
      <c r="C114" s="20"/>
      <c r="D114" s="20"/>
      <c r="E114" s="20" t="s">
        <v>155</v>
      </c>
      <c r="F114" s="20" t="s">
        <v>125</v>
      </c>
      <c r="G114" s="22" t="s">
        <v>126</v>
      </c>
      <c r="H114" s="21"/>
      <c r="I114" s="107">
        <v>45967</v>
      </c>
      <c r="J114" s="108">
        <v>-30000</v>
      </c>
      <c r="K114" s="24"/>
      <c r="L114" s="23"/>
      <c r="M114" s="23"/>
      <c r="O114" s="20" t="s">
        <v>114</v>
      </c>
      <c r="P114" s="20" t="s">
        <v>115</v>
      </c>
      <c r="Q114" s="19">
        <v>1</v>
      </c>
      <c r="R114" s="59" t="s">
        <v>116</v>
      </c>
      <c r="S114" s="20" t="s">
        <v>113</v>
      </c>
      <c r="U114" s="20" t="s">
        <v>117</v>
      </c>
      <c r="V114" s="19" t="s">
        <v>118</v>
      </c>
      <c r="W114" s="19" t="s">
        <v>119</v>
      </c>
      <c r="X114" s="19" t="s">
        <v>120</v>
      </c>
      <c r="Y114" s="19">
        <v>10041</v>
      </c>
      <c r="Z114" s="19" t="s">
        <v>121</v>
      </c>
      <c r="AA114" s="19" t="s">
        <v>122</v>
      </c>
      <c r="AB114" s="19" t="s">
        <v>123</v>
      </c>
      <c r="AF114" s="19">
        <v>100</v>
      </c>
      <c r="AI114" s="68">
        <v>45938</v>
      </c>
      <c r="AJ114" s="94" t="s">
        <v>124</v>
      </c>
    </row>
    <row r="115" spans="1:36">
      <c r="A115" s="19"/>
      <c r="B115" s="20"/>
      <c r="C115" s="20"/>
      <c r="D115" s="20"/>
      <c r="E115" s="20" t="s">
        <v>155</v>
      </c>
      <c r="F115" s="20" t="s">
        <v>125</v>
      </c>
      <c r="G115" s="22" t="s">
        <v>126</v>
      </c>
      <c r="H115" s="21"/>
      <c r="I115" s="107">
        <v>45967</v>
      </c>
      <c r="J115" s="108">
        <v>-153156</v>
      </c>
      <c r="K115" s="24"/>
      <c r="L115" s="23"/>
      <c r="M115" s="23"/>
      <c r="O115" s="20" t="s">
        <v>114</v>
      </c>
      <c r="P115" s="20" t="s">
        <v>115</v>
      </c>
      <c r="Q115" s="19">
        <v>1</v>
      </c>
      <c r="R115" s="59" t="s">
        <v>116</v>
      </c>
      <c r="S115" s="20" t="s">
        <v>113</v>
      </c>
      <c r="U115" s="20" t="s">
        <v>117</v>
      </c>
      <c r="V115" s="19" t="s">
        <v>118</v>
      </c>
      <c r="W115" s="19" t="s">
        <v>119</v>
      </c>
      <c r="X115" s="19" t="s">
        <v>120</v>
      </c>
      <c r="Y115" s="19">
        <v>10041</v>
      </c>
      <c r="Z115" s="19" t="s">
        <v>121</v>
      </c>
      <c r="AA115" s="19" t="s">
        <v>122</v>
      </c>
      <c r="AB115" s="19" t="s">
        <v>123</v>
      </c>
      <c r="AF115" s="19">
        <v>100</v>
      </c>
      <c r="AI115" s="68">
        <v>45938</v>
      </c>
      <c r="AJ115" s="94" t="s">
        <v>124</v>
      </c>
    </row>
    <row r="116" spans="1:36">
      <c r="A116" s="19"/>
      <c r="B116" s="20"/>
      <c r="C116" s="20"/>
      <c r="D116" s="20"/>
      <c r="E116" s="20" t="s">
        <v>155</v>
      </c>
      <c r="F116" s="20" t="s">
        <v>125</v>
      </c>
      <c r="G116" s="22" t="s">
        <v>126</v>
      </c>
      <c r="H116" s="21"/>
      <c r="I116" s="107">
        <v>45967</v>
      </c>
      <c r="J116" s="108">
        <v>-114812</v>
      </c>
      <c r="K116" s="24"/>
      <c r="L116" s="23"/>
      <c r="M116" s="23"/>
      <c r="O116" s="20" t="s">
        <v>114</v>
      </c>
      <c r="P116" s="20" t="s">
        <v>115</v>
      </c>
      <c r="Q116" s="19">
        <v>1</v>
      </c>
      <c r="R116" s="59" t="s">
        <v>116</v>
      </c>
      <c r="S116" s="20" t="s">
        <v>113</v>
      </c>
      <c r="U116" s="20" t="s">
        <v>117</v>
      </c>
      <c r="V116" s="19" t="s">
        <v>118</v>
      </c>
      <c r="W116" s="19" t="s">
        <v>119</v>
      </c>
      <c r="X116" s="19" t="s">
        <v>120</v>
      </c>
      <c r="Y116" s="19">
        <v>10041</v>
      </c>
      <c r="Z116" s="19" t="s">
        <v>121</v>
      </c>
      <c r="AA116" s="19" t="s">
        <v>122</v>
      </c>
      <c r="AB116" s="19" t="s">
        <v>123</v>
      </c>
      <c r="AF116" s="19">
        <v>100</v>
      </c>
      <c r="AI116" s="68">
        <v>45938</v>
      </c>
      <c r="AJ116" s="94" t="s">
        <v>124</v>
      </c>
    </row>
    <row r="117" spans="1:36">
      <c r="A117" s="19"/>
      <c r="B117" s="20"/>
      <c r="C117" s="20"/>
      <c r="D117" s="20"/>
      <c r="E117" s="20" t="s">
        <v>155</v>
      </c>
      <c r="F117" s="20" t="s">
        <v>125</v>
      </c>
      <c r="G117" s="22" t="s">
        <v>126</v>
      </c>
      <c r="H117" s="21"/>
      <c r="I117" s="107">
        <v>45967</v>
      </c>
      <c r="J117" s="108">
        <v>-120000</v>
      </c>
      <c r="K117" s="24"/>
      <c r="L117" s="23"/>
      <c r="M117" s="23"/>
      <c r="O117" s="20" t="s">
        <v>114</v>
      </c>
      <c r="P117" s="20" t="s">
        <v>115</v>
      </c>
      <c r="Q117" s="19">
        <v>1</v>
      </c>
      <c r="R117" s="59" t="s">
        <v>116</v>
      </c>
      <c r="S117" s="20" t="s">
        <v>113</v>
      </c>
      <c r="U117" s="20" t="s">
        <v>117</v>
      </c>
      <c r="V117" s="19" t="s">
        <v>118</v>
      </c>
      <c r="W117" s="19" t="s">
        <v>119</v>
      </c>
      <c r="X117" s="19" t="s">
        <v>120</v>
      </c>
      <c r="Y117" s="19">
        <v>10041</v>
      </c>
      <c r="Z117" s="19" t="s">
        <v>121</v>
      </c>
      <c r="AA117" s="19" t="s">
        <v>122</v>
      </c>
      <c r="AB117" s="19" t="s">
        <v>123</v>
      </c>
      <c r="AF117" s="19">
        <v>100</v>
      </c>
      <c r="AI117" s="68">
        <v>45938</v>
      </c>
      <c r="AJ117" s="94" t="s">
        <v>124</v>
      </c>
    </row>
    <row r="118" spans="1:36">
      <c r="A118" s="19"/>
      <c r="B118" s="20"/>
      <c r="C118" s="20"/>
      <c r="D118" s="20"/>
      <c r="E118" s="20" t="s">
        <v>155</v>
      </c>
      <c r="F118" s="20" t="s">
        <v>125</v>
      </c>
      <c r="G118" s="22" t="s">
        <v>126</v>
      </c>
      <c r="H118" s="21"/>
      <c r="I118" s="107">
        <v>45967</v>
      </c>
      <c r="J118" s="108">
        <v>-231279</v>
      </c>
      <c r="K118" s="24"/>
      <c r="L118" s="23"/>
      <c r="M118" s="23"/>
      <c r="O118" s="20" t="s">
        <v>114</v>
      </c>
      <c r="P118" s="20" t="s">
        <v>115</v>
      </c>
      <c r="Q118" s="19">
        <v>1</v>
      </c>
      <c r="R118" s="59" t="s">
        <v>116</v>
      </c>
      <c r="S118" s="20" t="s">
        <v>113</v>
      </c>
      <c r="U118" s="20" t="s">
        <v>117</v>
      </c>
      <c r="V118" s="19" t="s">
        <v>118</v>
      </c>
      <c r="W118" s="19" t="s">
        <v>119</v>
      </c>
      <c r="X118" s="19" t="s">
        <v>120</v>
      </c>
      <c r="Y118" s="19">
        <v>10041</v>
      </c>
      <c r="Z118" s="19" t="s">
        <v>121</v>
      </c>
      <c r="AA118" s="19" t="s">
        <v>122</v>
      </c>
      <c r="AB118" s="19" t="s">
        <v>123</v>
      </c>
      <c r="AF118" s="19">
        <v>100</v>
      </c>
      <c r="AI118" s="68">
        <v>45938</v>
      </c>
      <c r="AJ118" s="94" t="s">
        <v>124</v>
      </c>
    </row>
    <row r="119" spans="1:36">
      <c r="A119" s="19"/>
      <c r="B119" s="20"/>
      <c r="C119" s="20"/>
      <c r="D119" s="20"/>
      <c r="E119" s="20" t="s">
        <v>155</v>
      </c>
      <c r="F119" s="20" t="s">
        <v>125</v>
      </c>
      <c r="G119" s="22" t="s">
        <v>126</v>
      </c>
      <c r="H119" s="21"/>
      <c r="I119" s="107">
        <v>45967</v>
      </c>
      <c r="J119" s="108">
        <v>-30000</v>
      </c>
      <c r="K119" s="24" t="s">
        <v>113</v>
      </c>
      <c r="L119" s="23"/>
      <c r="M119" s="23"/>
      <c r="O119" s="20" t="s">
        <v>114</v>
      </c>
      <c r="P119" s="20" t="s">
        <v>115</v>
      </c>
      <c r="Q119" s="19">
        <v>1</v>
      </c>
      <c r="R119" s="59" t="s">
        <v>116</v>
      </c>
      <c r="S119" s="20" t="s">
        <v>113</v>
      </c>
      <c r="U119" s="20" t="s">
        <v>117</v>
      </c>
      <c r="V119" s="19" t="s">
        <v>118</v>
      </c>
      <c r="W119" s="19" t="s">
        <v>119</v>
      </c>
      <c r="X119" s="19" t="s">
        <v>120</v>
      </c>
      <c r="Y119" s="19">
        <v>10041</v>
      </c>
      <c r="Z119" s="19" t="s">
        <v>121</v>
      </c>
      <c r="AA119" s="19" t="s">
        <v>122</v>
      </c>
      <c r="AB119" s="19" t="s">
        <v>123</v>
      </c>
      <c r="AF119" s="19">
        <v>100</v>
      </c>
      <c r="AI119" s="68">
        <v>45938</v>
      </c>
      <c r="AJ119" s="94" t="s">
        <v>124</v>
      </c>
    </row>
    <row r="120" spans="1:36">
      <c r="A120" s="19"/>
      <c r="B120" s="20"/>
      <c r="C120" s="20"/>
      <c r="D120" s="20"/>
      <c r="E120" s="20" t="s">
        <v>155</v>
      </c>
      <c r="F120" s="20" t="s">
        <v>139</v>
      </c>
      <c r="G120" s="22" t="s">
        <v>140</v>
      </c>
      <c r="H120" s="21">
        <v>45968</v>
      </c>
      <c r="I120" s="107"/>
      <c r="J120" s="108">
        <v>18097</v>
      </c>
      <c r="K120" s="24"/>
      <c r="L120" s="23"/>
      <c r="M120" s="23"/>
      <c r="O120" s="20" t="s">
        <v>114</v>
      </c>
      <c r="P120" s="20" t="s">
        <v>115</v>
      </c>
      <c r="Q120" s="19">
        <v>1</v>
      </c>
      <c r="R120" s="59" t="s">
        <v>116</v>
      </c>
      <c r="S120" s="20" t="s">
        <v>113</v>
      </c>
      <c r="U120" s="20" t="s">
        <v>117</v>
      </c>
      <c r="V120" s="19" t="s">
        <v>118</v>
      </c>
      <c r="W120" s="19" t="s">
        <v>119</v>
      </c>
      <c r="X120" s="19" t="s">
        <v>120</v>
      </c>
      <c r="Y120" s="19">
        <v>10041</v>
      </c>
      <c r="Z120" s="19" t="s">
        <v>121</v>
      </c>
      <c r="AA120" s="19" t="s">
        <v>122</v>
      </c>
      <c r="AB120" s="19" t="s">
        <v>123</v>
      </c>
      <c r="AF120" s="19">
        <v>100</v>
      </c>
      <c r="AI120" s="68">
        <v>45938</v>
      </c>
      <c r="AJ120" s="94" t="s">
        <v>124</v>
      </c>
    </row>
    <row r="121" spans="1:36">
      <c r="A121" s="19"/>
      <c r="B121" s="20"/>
      <c r="C121" s="20"/>
      <c r="D121" s="20"/>
      <c r="E121" s="20" t="s">
        <v>155</v>
      </c>
      <c r="F121" s="20" t="s">
        <v>139</v>
      </c>
      <c r="G121" s="22" t="s">
        <v>140</v>
      </c>
      <c r="H121" s="21">
        <v>45968</v>
      </c>
      <c r="I121" s="107"/>
      <c r="J121" s="108">
        <v>75531</v>
      </c>
      <c r="K121" s="24"/>
      <c r="L121" s="23"/>
      <c r="M121" s="23"/>
      <c r="O121" s="20" t="s">
        <v>114</v>
      </c>
      <c r="P121" s="20" t="s">
        <v>115</v>
      </c>
      <c r="Q121" s="19">
        <v>1</v>
      </c>
      <c r="R121" s="59" t="s">
        <v>116</v>
      </c>
      <c r="S121" s="20" t="s">
        <v>113</v>
      </c>
      <c r="U121" s="20" t="s">
        <v>117</v>
      </c>
      <c r="V121" s="19" t="s">
        <v>118</v>
      </c>
      <c r="W121" s="19" t="s">
        <v>119</v>
      </c>
      <c r="X121" s="19" t="s">
        <v>120</v>
      </c>
      <c r="Y121" s="19">
        <v>10041</v>
      </c>
      <c r="Z121" s="19" t="s">
        <v>121</v>
      </c>
      <c r="AA121" s="19" t="s">
        <v>122</v>
      </c>
      <c r="AB121" s="19" t="s">
        <v>123</v>
      </c>
      <c r="AF121" s="19">
        <v>100</v>
      </c>
      <c r="AI121" s="68">
        <v>45938</v>
      </c>
      <c r="AJ121" s="94" t="s">
        <v>124</v>
      </c>
    </row>
    <row r="122" spans="1:36">
      <c r="A122" s="19"/>
      <c r="B122" s="20"/>
      <c r="C122" s="20"/>
      <c r="D122" s="20"/>
      <c r="E122" s="20" t="s">
        <v>155</v>
      </c>
      <c r="F122" s="20" t="s">
        <v>139</v>
      </c>
      <c r="G122" s="22" t="s">
        <v>140</v>
      </c>
      <c r="H122" s="21">
        <v>45968</v>
      </c>
      <c r="I122" s="107"/>
      <c r="J122" s="108">
        <v>25892</v>
      </c>
      <c r="K122" s="24"/>
      <c r="L122" s="23"/>
      <c r="M122" s="23"/>
      <c r="O122" s="20" t="s">
        <v>114</v>
      </c>
      <c r="P122" s="20" t="s">
        <v>115</v>
      </c>
      <c r="Q122" s="19">
        <v>1</v>
      </c>
      <c r="R122" s="59" t="s">
        <v>116</v>
      </c>
      <c r="S122" s="20" t="s">
        <v>113</v>
      </c>
      <c r="U122" s="20" t="s">
        <v>117</v>
      </c>
      <c r="V122" s="19" t="s">
        <v>118</v>
      </c>
      <c r="W122" s="19" t="s">
        <v>119</v>
      </c>
      <c r="X122" s="19" t="s">
        <v>120</v>
      </c>
      <c r="Y122" s="19">
        <v>10041</v>
      </c>
      <c r="Z122" s="19" t="s">
        <v>121</v>
      </c>
      <c r="AA122" s="19" t="s">
        <v>122</v>
      </c>
      <c r="AB122" s="19" t="s">
        <v>123</v>
      </c>
      <c r="AF122" s="19">
        <v>100</v>
      </c>
      <c r="AI122" s="68">
        <v>45938</v>
      </c>
      <c r="AJ122" s="94" t="s">
        <v>124</v>
      </c>
    </row>
    <row r="123" spans="1:36">
      <c r="A123" s="19"/>
      <c r="B123" s="20"/>
      <c r="C123" s="20"/>
      <c r="D123" s="20"/>
      <c r="E123" s="20" t="s">
        <v>155</v>
      </c>
      <c r="F123" s="20" t="s">
        <v>139</v>
      </c>
      <c r="G123" s="22" t="s">
        <v>140</v>
      </c>
      <c r="H123" s="21">
        <v>45968</v>
      </c>
      <c r="I123" s="107"/>
      <c r="J123" s="108">
        <v>153925</v>
      </c>
      <c r="K123" s="24"/>
      <c r="L123" s="23"/>
      <c r="M123" s="23"/>
      <c r="O123" s="20" t="s">
        <v>114</v>
      </c>
      <c r="P123" s="20" t="s">
        <v>115</v>
      </c>
      <c r="Q123" s="19">
        <v>1</v>
      </c>
      <c r="R123" s="59" t="s">
        <v>116</v>
      </c>
      <c r="S123" s="20" t="s">
        <v>113</v>
      </c>
      <c r="U123" s="20" t="s">
        <v>117</v>
      </c>
      <c r="V123" s="19" t="s">
        <v>118</v>
      </c>
      <c r="W123" s="19" t="s">
        <v>119</v>
      </c>
      <c r="X123" s="19" t="s">
        <v>120</v>
      </c>
      <c r="Y123" s="19">
        <v>10041</v>
      </c>
      <c r="Z123" s="19" t="s">
        <v>121</v>
      </c>
      <c r="AA123" s="19" t="s">
        <v>122</v>
      </c>
      <c r="AB123" s="19" t="s">
        <v>123</v>
      </c>
      <c r="AF123" s="19">
        <v>100</v>
      </c>
      <c r="AI123" s="68">
        <v>45938</v>
      </c>
      <c r="AJ123" s="94" t="s">
        <v>124</v>
      </c>
    </row>
    <row r="124" spans="1:36">
      <c r="A124" s="19"/>
      <c r="B124" s="20"/>
      <c r="C124" s="20"/>
      <c r="D124" s="20"/>
      <c r="E124" s="20" t="s">
        <v>155</v>
      </c>
      <c r="F124" s="20" t="s">
        <v>139</v>
      </c>
      <c r="G124" s="22" t="s">
        <v>140</v>
      </c>
      <c r="H124" s="21">
        <v>45968</v>
      </c>
      <c r="I124" s="107"/>
      <c r="J124" s="108">
        <v>60000</v>
      </c>
      <c r="K124" s="24"/>
      <c r="L124" s="23"/>
      <c r="M124" s="23"/>
      <c r="O124" s="20" t="s">
        <v>114</v>
      </c>
      <c r="P124" s="20" t="s">
        <v>115</v>
      </c>
      <c r="Q124" s="19">
        <v>1</v>
      </c>
      <c r="R124" s="59" t="s">
        <v>116</v>
      </c>
      <c r="S124" s="20" t="s">
        <v>113</v>
      </c>
      <c r="U124" s="20" t="s">
        <v>117</v>
      </c>
      <c r="V124" s="19" t="s">
        <v>118</v>
      </c>
      <c r="W124" s="19" t="s">
        <v>119</v>
      </c>
      <c r="X124" s="19" t="s">
        <v>120</v>
      </c>
      <c r="Y124" s="19">
        <v>10041</v>
      </c>
      <c r="Z124" s="19" t="s">
        <v>121</v>
      </c>
      <c r="AA124" s="19" t="s">
        <v>122</v>
      </c>
      <c r="AB124" s="19" t="s">
        <v>123</v>
      </c>
      <c r="AF124" s="19">
        <v>100</v>
      </c>
      <c r="AI124" s="68">
        <v>45938</v>
      </c>
      <c r="AJ124" s="94" t="s">
        <v>124</v>
      </c>
    </row>
    <row r="125" spans="1:36">
      <c r="A125" s="19"/>
      <c r="B125" s="20"/>
      <c r="C125" s="20"/>
      <c r="D125" s="20"/>
      <c r="E125" s="20" t="s">
        <v>155</v>
      </c>
      <c r="F125" s="20" t="s">
        <v>139</v>
      </c>
      <c r="G125" s="22" t="s">
        <v>140</v>
      </c>
      <c r="H125" s="21">
        <v>45968</v>
      </c>
      <c r="I125" s="107"/>
      <c r="J125" s="108">
        <v>3721</v>
      </c>
      <c r="K125" s="24" t="s">
        <v>113</v>
      </c>
      <c r="L125" s="23"/>
      <c r="M125" s="23"/>
      <c r="O125" s="20" t="s">
        <v>114</v>
      </c>
      <c r="P125" s="20" t="s">
        <v>115</v>
      </c>
      <c r="Q125" s="19">
        <v>1</v>
      </c>
      <c r="R125" s="59" t="s">
        <v>116</v>
      </c>
      <c r="S125" s="20" t="s">
        <v>113</v>
      </c>
      <c r="U125" s="20" t="s">
        <v>117</v>
      </c>
      <c r="V125" s="19" t="s">
        <v>118</v>
      </c>
      <c r="W125" s="19" t="s">
        <v>119</v>
      </c>
      <c r="X125" s="19" t="s">
        <v>120</v>
      </c>
      <c r="Y125" s="19">
        <v>10041</v>
      </c>
      <c r="Z125" s="19" t="s">
        <v>121</v>
      </c>
      <c r="AA125" s="19" t="s">
        <v>122</v>
      </c>
      <c r="AB125" s="19" t="s">
        <v>123</v>
      </c>
      <c r="AF125" s="19">
        <v>100</v>
      </c>
      <c r="AI125" s="68">
        <v>45938</v>
      </c>
      <c r="AJ125" s="94" t="s">
        <v>124</v>
      </c>
    </row>
    <row r="126" spans="1:36">
      <c r="A126" s="19"/>
      <c r="B126" s="20"/>
      <c r="C126" s="20"/>
      <c r="D126" s="20"/>
      <c r="E126" s="20" t="s">
        <v>155</v>
      </c>
      <c r="F126" s="20" t="s">
        <v>139</v>
      </c>
      <c r="G126" s="22" t="s">
        <v>140</v>
      </c>
      <c r="H126" s="21">
        <v>45971</v>
      </c>
      <c r="I126" s="107"/>
      <c r="J126" s="108">
        <v>9000</v>
      </c>
      <c r="K126" s="24"/>
      <c r="L126" s="23"/>
      <c r="M126" s="23"/>
      <c r="O126" s="20" t="s">
        <v>114</v>
      </c>
      <c r="P126" s="20" t="s">
        <v>115</v>
      </c>
      <c r="Q126" s="19">
        <v>1</v>
      </c>
      <c r="R126" s="59" t="s">
        <v>116</v>
      </c>
      <c r="S126" s="20" t="s">
        <v>113</v>
      </c>
      <c r="U126" s="20" t="s">
        <v>117</v>
      </c>
      <c r="V126" s="19" t="s">
        <v>118</v>
      </c>
      <c r="W126" s="19" t="s">
        <v>119</v>
      </c>
      <c r="X126" s="19" t="s">
        <v>120</v>
      </c>
      <c r="Y126" s="19">
        <v>10041</v>
      </c>
      <c r="Z126" s="19" t="s">
        <v>121</v>
      </c>
      <c r="AA126" s="19" t="s">
        <v>122</v>
      </c>
      <c r="AB126" s="19" t="s">
        <v>123</v>
      </c>
      <c r="AF126" s="19">
        <v>100</v>
      </c>
      <c r="AI126" s="68">
        <v>45938</v>
      </c>
      <c r="AJ126" s="94" t="s">
        <v>124</v>
      </c>
    </row>
    <row r="127" spans="1:36">
      <c r="A127" s="19"/>
      <c r="B127" s="20"/>
      <c r="C127" s="20"/>
      <c r="D127" s="20"/>
      <c r="E127" s="20" t="s">
        <v>155</v>
      </c>
      <c r="F127" s="20" t="s">
        <v>139</v>
      </c>
      <c r="G127" s="22" t="s">
        <v>140</v>
      </c>
      <c r="H127" s="21">
        <v>45971</v>
      </c>
      <c r="I127" s="107"/>
      <c r="J127" s="108">
        <v>25000</v>
      </c>
      <c r="K127" s="24"/>
      <c r="L127" s="23"/>
      <c r="M127" s="23"/>
      <c r="O127" s="20" t="s">
        <v>114</v>
      </c>
      <c r="P127" s="20" t="s">
        <v>115</v>
      </c>
      <c r="Q127" s="19">
        <v>1</v>
      </c>
      <c r="R127" s="59" t="s">
        <v>116</v>
      </c>
      <c r="S127" s="20" t="s">
        <v>113</v>
      </c>
      <c r="U127" s="20" t="s">
        <v>117</v>
      </c>
      <c r="V127" s="19" t="s">
        <v>118</v>
      </c>
      <c r="W127" s="19" t="s">
        <v>119</v>
      </c>
      <c r="X127" s="19" t="s">
        <v>120</v>
      </c>
      <c r="Y127" s="19">
        <v>10041</v>
      </c>
      <c r="Z127" s="19" t="s">
        <v>121</v>
      </c>
      <c r="AA127" s="19" t="s">
        <v>122</v>
      </c>
      <c r="AB127" s="19" t="s">
        <v>123</v>
      </c>
      <c r="AF127" s="19">
        <v>100</v>
      </c>
      <c r="AI127" s="68">
        <v>45938</v>
      </c>
      <c r="AJ127" s="94" t="s">
        <v>124</v>
      </c>
    </row>
    <row r="128" spans="1:36">
      <c r="A128" s="19"/>
      <c r="B128" s="20"/>
      <c r="C128" s="20"/>
      <c r="D128" s="20"/>
      <c r="E128" s="20" t="s">
        <v>155</v>
      </c>
      <c r="F128" s="20" t="s">
        <v>139</v>
      </c>
      <c r="G128" s="22" t="s">
        <v>140</v>
      </c>
      <c r="H128" s="21">
        <v>45971</v>
      </c>
      <c r="I128" s="107"/>
      <c r="J128" s="108">
        <v>29</v>
      </c>
      <c r="K128" s="24"/>
      <c r="L128" s="23"/>
      <c r="M128" s="23"/>
      <c r="O128" s="20" t="s">
        <v>114</v>
      </c>
      <c r="P128" s="20" t="s">
        <v>115</v>
      </c>
      <c r="Q128" s="19">
        <v>1</v>
      </c>
      <c r="R128" s="59" t="s">
        <v>116</v>
      </c>
      <c r="S128" s="20" t="s">
        <v>113</v>
      </c>
      <c r="U128" s="20" t="s">
        <v>117</v>
      </c>
      <c r="V128" s="19" t="s">
        <v>118</v>
      </c>
      <c r="W128" s="19" t="s">
        <v>119</v>
      </c>
      <c r="X128" s="19" t="s">
        <v>120</v>
      </c>
      <c r="Y128" s="19">
        <v>10041</v>
      </c>
      <c r="Z128" s="19" t="s">
        <v>121</v>
      </c>
      <c r="AA128" s="19" t="s">
        <v>122</v>
      </c>
      <c r="AB128" s="19" t="s">
        <v>123</v>
      </c>
      <c r="AF128" s="19">
        <v>100</v>
      </c>
      <c r="AI128" s="68">
        <v>45938</v>
      </c>
      <c r="AJ128" s="94" t="s">
        <v>124</v>
      </c>
    </row>
    <row r="129" spans="1:36">
      <c r="A129" s="19"/>
      <c r="B129" s="20"/>
      <c r="C129" s="20"/>
      <c r="D129" s="20"/>
      <c r="E129" s="20" t="s">
        <v>155</v>
      </c>
      <c r="F129" s="20" t="s">
        <v>139</v>
      </c>
      <c r="G129" s="22" t="s">
        <v>140</v>
      </c>
      <c r="H129" s="21">
        <v>45971</v>
      </c>
      <c r="I129" s="107"/>
      <c r="J129" s="108">
        <v>6428</v>
      </c>
      <c r="K129" s="24" t="s">
        <v>113</v>
      </c>
      <c r="L129" s="23"/>
      <c r="M129" s="23"/>
      <c r="O129" s="20" t="s">
        <v>114</v>
      </c>
      <c r="P129" s="20" t="s">
        <v>115</v>
      </c>
      <c r="Q129" s="19">
        <v>1</v>
      </c>
      <c r="R129" s="59" t="s">
        <v>116</v>
      </c>
      <c r="S129" s="20" t="s">
        <v>113</v>
      </c>
      <c r="U129" s="20" t="s">
        <v>117</v>
      </c>
      <c r="V129" s="19" t="s">
        <v>118</v>
      </c>
      <c r="W129" s="19" t="s">
        <v>119</v>
      </c>
      <c r="X129" s="19" t="s">
        <v>120</v>
      </c>
      <c r="Y129" s="19">
        <v>10041</v>
      </c>
      <c r="Z129" s="19" t="s">
        <v>121</v>
      </c>
      <c r="AA129" s="19" t="s">
        <v>122</v>
      </c>
      <c r="AB129" s="19" t="s">
        <v>123</v>
      </c>
      <c r="AF129" s="19">
        <v>100</v>
      </c>
      <c r="AI129" s="68">
        <v>45938</v>
      </c>
      <c r="AJ129" s="94" t="s">
        <v>124</v>
      </c>
    </row>
    <row r="130" spans="1:36">
      <c r="A130" s="19"/>
      <c r="B130" s="20"/>
      <c r="C130" s="20"/>
      <c r="D130" s="20"/>
      <c r="E130" s="20" t="s">
        <v>155</v>
      </c>
      <c r="F130" s="20" t="s">
        <v>139</v>
      </c>
      <c r="G130" s="22" t="s">
        <v>140</v>
      </c>
      <c r="H130" s="21">
        <v>45973</v>
      </c>
      <c r="I130" s="107"/>
      <c r="J130" s="108">
        <v>15000</v>
      </c>
      <c r="K130" s="24"/>
      <c r="L130" s="23"/>
      <c r="M130" s="23"/>
      <c r="O130" s="20" t="s">
        <v>114</v>
      </c>
      <c r="P130" s="20" t="s">
        <v>115</v>
      </c>
      <c r="Q130" s="19">
        <v>1</v>
      </c>
      <c r="R130" s="59" t="s">
        <v>116</v>
      </c>
      <c r="S130" s="20" t="s">
        <v>113</v>
      </c>
      <c r="U130" s="20" t="s">
        <v>117</v>
      </c>
      <c r="V130" s="19" t="s">
        <v>118</v>
      </c>
      <c r="W130" s="19" t="s">
        <v>119</v>
      </c>
      <c r="X130" s="19" t="s">
        <v>120</v>
      </c>
      <c r="Y130" s="19">
        <v>10041</v>
      </c>
      <c r="Z130" s="19" t="s">
        <v>121</v>
      </c>
      <c r="AA130" s="19" t="s">
        <v>122</v>
      </c>
      <c r="AB130" s="19" t="s">
        <v>123</v>
      </c>
      <c r="AF130" s="19">
        <v>100</v>
      </c>
      <c r="AI130" s="68">
        <v>45938</v>
      </c>
      <c r="AJ130" s="94" t="s">
        <v>124</v>
      </c>
    </row>
    <row r="131" spans="1:36">
      <c r="A131" s="19"/>
      <c r="B131" s="20"/>
      <c r="C131" s="20"/>
      <c r="D131" s="20"/>
      <c r="E131" s="20" t="s">
        <v>155</v>
      </c>
      <c r="F131" s="20" t="s">
        <v>139</v>
      </c>
      <c r="G131" s="22" t="s">
        <v>140</v>
      </c>
      <c r="H131" s="21">
        <v>45973</v>
      </c>
      <c r="I131" s="107"/>
      <c r="J131" s="108">
        <v>50768</v>
      </c>
      <c r="K131" s="24"/>
      <c r="L131" s="23"/>
      <c r="M131" s="23"/>
      <c r="O131" s="20" t="s">
        <v>114</v>
      </c>
      <c r="P131" s="20" t="s">
        <v>115</v>
      </c>
      <c r="Q131" s="19">
        <v>1</v>
      </c>
      <c r="R131" s="59" t="s">
        <v>116</v>
      </c>
      <c r="S131" s="20" t="s">
        <v>113</v>
      </c>
      <c r="U131" s="20" t="s">
        <v>117</v>
      </c>
      <c r="V131" s="19" t="s">
        <v>118</v>
      </c>
      <c r="W131" s="19" t="s">
        <v>119</v>
      </c>
      <c r="X131" s="19" t="s">
        <v>120</v>
      </c>
      <c r="Y131" s="19">
        <v>10041</v>
      </c>
      <c r="Z131" s="19" t="s">
        <v>121</v>
      </c>
      <c r="AA131" s="19" t="s">
        <v>122</v>
      </c>
      <c r="AB131" s="19" t="s">
        <v>123</v>
      </c>
      <c r="AF131" s="19">
        <v>100</v>
      </c>
      <c r="AI131" s="68">
        <v>45938</v>
      </c>
      <c r="AJ131" s="94" t="s">
        <v>124</v>
      </c>
    </row>
    <row r="132" spans="1:36">
      <c r="A132" s="19"/>
      <c r="B132" s="20"/>
      <c r="C132" s="20"/>
      <c r="D132" s="20"/>
      <c r="E132" s="20" t="s">
        <v>155</v>
      </c>
      <c r="F132" s="20" t="s">
        <v>139</v>
      </c>
      <c r="G132" s="22" t="s">
        <v>140</v>
      </c>
      <c r="H132" s="21">
        <v>45973</v>
      </c>
      <c r="I132" s="107"/>
      <c r="J132" s="108">
        <v>10071</v>
      </c>
      <c r="K132" s="24"/>
      <c r="L132" s="23"/>
      <c r="M132" s="23"/>
      <c r="O132" s="20" t="s">
        <v>114</v>
      </c>
      <c r="P132" s="20" t="s">
        <v>115</v>
      </c>
      <c r="Q132" s="19">
        <v>1</v>
      </c>
      <c r="R132" s="59" t="s">
        <v>116</v>
      </c>
      <c r="S132" s="20" t="s">
        <v>113</v>
      </c>
      <c r="U132" s="20" t="s">
        <v>117</v>
      </c>
      <c r="V132" s="19" t="s">
        <v>118</v>
      </c>
      <c r="W132" s="19" t="s">
        <v>119</v>
      </c>
      <c r="X132" s="19" t="s">
        <v>120</v>
      </c>
      <c r="Y132" s="19">
        <v>10041</v>
      </c>
      <c r="Z132" s="19" t="s">
        <v>121</v>
      </c>
      <c r="AA132" s="19" t="s">
        <v>122</v>
      </c>
      <c r="AB132" s="19" t="s">
        <v>123</v>
      </c>
      <c r="AF132" s="19">
        <v>100</v>
      </c>
      <c r="AI132" s="68">
        <v>45938</v>
      </c>
      <c r="AJ132" s="94" t="s">
        <v>124</v>
      </c>
    </row>
    <row r="133" spans="1:36">
      <c r="A133" s="19"/>
      <c r="B133" s="20"/>
      <c r="C133" s="20"/>
      <c r="D133" s="20"/>
      <c r="E133" s="20" t="s">
        <v>155</v>
      </c>
      <c r="F133" s="20" t="s">
        <v>139</v>
      </c>
      <c r="G133" s="22" t="s">
        <v>140</v>
      </c>
      <c r="H133" s="21">
        <v>45973</v>
      </c>
      <c r="I133" s="107"/>
      <c r="J133" s="108">
        <v>22571</v>
      </c>
      <c r="K133" s="24" t="s">
        <v>113</v>
      </c>
      <c r="L133" s="23"/>
      <c r="M133" s="23"/>
      <c r="O133" s="20" t="s">
        <v>114</v>
      </c>
      <c r="P133" s="20" t="s">
        <v>115</v>
      </c>
      <c r="Q133" s="19">
        <v>1</v>
      </c>
      <c r="R133" s="59" t="s">
        <v>116</v>
      </c>
      <c r="S133" s="20" t="s">
        <v>113</v>
      </c>
      <c r="U133" s="20" t="s">
        <v>117</v>
      </c>
      <c r="V133" s="19" t="s">
        <v>118</v>
      </c>
      <c r="W133" s="19" t="s">
        <v>119</v>
      </c>
      <c r="X133" s="19" t="s">
        <v>120</v>
      </c>
      <c r="Y133" s="19">
        <v>10041</v>
      </c>
      <c r="Z133" s="19" t="s">
        <v>121</v>
      </c>
      <c r="AA133" s="19" t="s">
        <v>122</v>
      </c>
      <c r="AB133" s="19" t="s">
        <v>123</v>
      </c>
      <c r="AF133" s="19">
        <v>100</v>
      </c>
      <c r="AI133" s="68">
        <v>45938</v>
      </c>
      <c r="AJ133" s="94" t="s">
        <v>124</v>
      </c>
    </row>
    <row r="134" spans="1:36">
      <c r="A134" s="19"/>
      <c r="B134" s="20"/>
      <c r="C134" s="20"/>
      <c r="D134" s="20"/>
      <c r="E134" s="20" t="s">
        <v>155</v>
      </c>
      <c r="F134" s="20" t="s">
        <v>139</v>
      </c>
      <c r="G134" s="22" t="s">
        <v>140</v>
      </c>
      <c r="H134" s="107">
        <v>45974</v>
      </c>
      <c r="I134" s="107"/>
      <c r="J134" s="108">
        <v>5100</v>
      </c>
      <c r="K134" s="24"/>
      <c r="L134" s="23"/>
      <c r="M134" s="23"/>
      <c r="O134" s="20" t="s">
        <v>114</v>
      </c>
      <c r="P134" s="20" t="s">
        <v>115</v>
      </c>
      <c r="Q134" s="19">
        <v>1</v>
      </c>
      <c r="R134" s="59" t="s">
        <v>116</v>
      </c>
      <c r="S134" s="20" t="s">
        <v>113</v>
      </c>
      <c r="U134" s="20" t="s">
        <v>117</v>
      </c>
      <c r="V134" s="19" t="s">
        <v>118</v>
      </c>
      <c r="W134" s="19" t="s">
        <v>119</v>
      </c>
      <c r="X134" s="19" t="s">
        <v>120</v>
      </c>
      <c r="Y134" s="19">
        <v>10041</v>
      </c>
      <c r="Z134" s="19" t="s">
        <v>121</v>
      </c>
      <c r="AA134" s="19" t="s">
        <v>122</v>
      </c>
      <c r="AB134" s="19" t="s">
        <v>123</v>
      </c>
      <c r="AF134" s="19">
        <v>100</v>
      </c>
      <c r="AI134" s="68">
        <v>45938</v>
      </c>
      <c r="AJ134" s="94" t="s">
        <v>124</v>
      </c>
    </row>
    <row r="135" spans="1:36">
      <c r="A135" s="19"/>
      <c r="B135" s="20"/>
      <c r="C135" s="20"/>
      <c r="D135" s="20"/>
      <c r="E135" s="20" t="s">
        <v>155</v>
      </c>
      <c r="F135" s="20" t="s">
        <v>139</v>
      </c>
      <c r="G135" s="22" t="s">
        <v>140</v>
      </c>
      <c r="H135" s="107">
        <v>45974</v>
      </c>
      <c r="I135" s="107"/>
      <c r="J135" s="108">
        <v>8978</v>
      </c>
      <c r="K135" s="24"/>
      <c r="L135" s="23"/>
      <c r="M135" s="23"/>
      <c r="O135" s="20" t="s">
        <v>114</v>
      </c>
      <c r="P135" s="20" t="s">
        <v>115</v>
      </c>
      <c r="Q135" s="19">
        <v>1</v>
      </c>
      <c r="R135" s="59" t="s">
        <v>116</v>
      </c>
      <c r="S135" s="20" t="s">
        <v>113</v>
      </c>
      <c r="U135" s="20" t="s">
        <v>117</v>
      </c>
      <c r="V135" s="19" t="s">
        <v>118</v>
      </c>
      <c r="W135" s="19" t="s">
        <v>119</v>
      </c>
      <c r="X135" s="19" t="s">
        <v>120</v>
      </c>
      <c r="Y135" s="19">
        <v>10041</v>
      </c>
      <c r="Z135" s="19" t="s">
        <v>121</v>
      </c>
      <c r="AA135" s="19" t="s">
        <v>122</v>
      </c>
      <c r="AB135" s="19" t="s">
        <v>123</v>
      </c>
      <c r="AF135" s="19">
        <v>100</v>
      </c>
      <c r="AI135" s="68">
        <v>45938</v>
      </c>
      <c r="AJ135" s="94" t="s">
        <v>124</v>
      </c>
    </row>
    <row r="136" spans="1:36">
      <c r="A136" s="19"/>
      <c r="B136" s="20"/>
      <c r="C136" s="20"/>
      <c r="D136" s="20"/>
      <c r="E136" s="20" t="s">
        <v>155</v>
      </c>
      <c r="F136" s="20" t="s">
        <v>139</v>
      </c>
      <c r="G136" s="22" t="s">
        <v>140</v>
      </c>
      <c r="H136" s="107">
        <v>45974</v>
      </c>
      <c r="I136" s="107"/>
      <c r="J136" s="108">
        <v>3685</v>
      </c>
      <c r="K136" s="24"/>
      <c r="L136" s="23"/>
      <c r="M136" s="23"/>
      <c r="O136" s="20" t="s">
        <v>114</v>
      </c>
      <c r="P136" s="20" t="s">
        <v>115</v>
      </c>
      <c r="Q136" s="19">
        <v>1</v>
      </c>
      <c r="R136" s="59" t="s">
        <v>116</v>
      </c>
      <c r="S136" s="20" t="s">
        <v>113</v>
      </c>
      <c r="U136" s="20" t="s">
        <v>117</v>
      </c>
      <c r="V136" s="19" t="s">
        <v>118</v>
      </c>
      <c r="W136" s="19" t="s">
        <v>119</v>
      </c>
      <c r="X136" s="19" t="s">
        <v>120</v>
      </c>
      <c r="Y136" s="19">
        <v>10041</v>
      </c>
      <c r="Z136" s="19" t="s">
        <v>121</v>
      </c>
      <c r="AA136" s="19" t="s">
        <v>122</v>
      </c>
      <c r="AB136" s="19" t="s">
        <v>123</v>
      </c>
      <c r="AF136" s="19">
        <v>100</v>
      </c>
      <c r="AI136" s="68">
        <v>45938</v>
      </c>
      <c r="AJ136" s="94" t="s">
        <v>124</v>
      </c>
    </row>
    <row r="137" spans="1:36">
      <c r="A137" s="19"/>
      <c r="B137" s="20"/>
      <c r="C137" s="20"/>
      <c r="D137" s="20"/>
      <c r="E137" s="20" t="s">
        <v>155</v>
      </c>
      <c r="F137" s="20" t="s">
        <v>139</v>
      </c>
      <c r="G137" s="22" t="s">
        <v>140</v>
      </c>
      <c r="H137" s="107">
        <v>45974</v>
      </c>
      <c r="I137" s="107"/>
      <c r="J137" s="108">
        <v>166</v>
      </c>
      <c r="K137" s="24"/>
      <c r="L137" s="23"/>
      <c r="M137" s="23"/>
      <c r="O137" s="20" t="s">
        <v>114</v>
      </c>
      <c r="P137" s="20" t="s">
        <v>115</v>
      </c>
      <c r="Q137" s="19">
        <v>1</v>
      </c>
      <c r="R137" s="59" t="s">
        <v>116</v>
      </c>
      <c r="S137" s="20" t="s">
        <v>113</v>
      </c>
      <c r="U137" s="20" t="s">
        <v>117</v>
      </c>
      <c r="V137" s="19" t="s">
        <v>118</v>
      </c>
      <c r="W137" s="19" t="s">
        <v>119</v>
      </c>
      <c r="X137" s="19" t="s">
        <v>120</v>
      </c>
      <c r="Y137" s="19">
        <v>10041</v>
      </c>
      <c r="Z137" s="19" t="s">
        <v>121</v>
      </c>
      <c r="AA137" s="19" t="s">
        <v>122</v>
      </c>
      <c r="AB137" s="19" t="s">
        <v>123</v>
      </c>
      <c r="AF137" s="19">
        <v>100</v>
      </c>
      <c r="AI137" s="68">
        <v>45938</v>
      </c>
      <c r="AJ137" s="94" t="s">
        <v>124</v>
      </c>
    </row>
    <row r="138" spans="1:36">
      <c r="A138" s="19"/>
      <c r="B138" s="20"/>
      <c r="C138" s="20"/>
      <c r="D138" s="20"/>
      <c r="E138" s="20" t="s">
        <v>155</v>
      </c>
      <c r="F138" s="20" t="s">
        <v>139</v>
      </c>
      <c r="G138" s="22" t="s">
        <v>140</v>
      </c>
      <c r="H138" s="107">
        <v>45974</v>
      </c>
      <c r="I138" s="107"/>
      <c r="J138" s="108">
        <v>2329</v>
      </c>
      <c r="K138" s="24" t="s">
        <v>113</v>
      </c>
      <c r="L138" s="23"/>
      <c r="M138" s="23"/>
      <c r="O138" s="20" t="s">
        <v>114</v>
      </c>
      <c r="P138" s="20" t="s">
        <v>115</v>
      </c>
      <c r="Q138" s="19">
        <v>1</v>
      </c>
      <c r="R138" s="59" t="s">
        <v>116</v>
      </c>
      <c r="S138" s="20" t="s">
        <v>113</v>
      </c>
      <c r="U138" s="20" t="s">
        <v>117</v>
      </c>
      <c r="V138" s="19" t="s">
        <v>118</v>
      </c>
      <c r="W138" s="19" t="s">
        <v>119</v>
      </c>
      <c r="X138" s="19" t="s">
        <v>120</v>
      </c>
      <c r="Y138" s="19">
        <v>10041</v>
      </c>
      <c r="Z138" s="19" t="s">
        <v>121</v>
      </c>
      <c r="AA138" s="19" t="s">
        <v>122</v>
      </c>
      <c r="AB138" s="19" t="s">
        <v>123</v>
      </c>
      <c r="AF138" s="19">
        <v>100</v>
      </c>
      <c r="AI138" s="68">
        <v>45938</v>
      </c>
      <c r="AJ138" s="94" t="s">
        <v>124</v>
      </c>
    </row>
    <row r="139" spans="1:36">
      <c r="A139" s="19"/>
      <c r="B139" s="20"/>
      <c r="C139" s="20"/>
      <c r="D139" s="20"/>
      <c r="E139" s="20" t="s">
        <v>155</v>
      </c>
      <c r="F139" s="20" t="s">
        <v>139</v>
      </c>
      <c r="G139" s="22" t="s">
        <v>140</v>
      </c>
      <c r="H139" s="107">
        <v>45975</v>
      </c>
      <c r="I139" s="107"/>
      <c r="J139" s="108">
        <v>13023</v>
      </c>
      <c r="K139" s="24"/>
      <c r="L139" s="23"/>
      <c r="M139" s="23"/>
      <c r="O139" s="20" t="s">
        <v>114</v>
      </c>
      <c r="P139" s="20" t="s">
        <v>115</v>
      </c>
      <c r="Q139" s="19">
        <v>1</v>
      </c>
      <c r="R139" s="59" t="s">
        <v>116</v>
      </c>
      <c r="S139" s="20" t="s">
        <v>113</v>
      </c>
      <c r="U139" s="20" t="s">
        <v>117</v>
      </c>
      <c r="V139" s="19" t="s">
        <v>118</v>
      </c>
      <c r="W139" s="19" t="s">
        <v>119</v>
      </c>
      <c r="X139" s="19" t="s">
        <v>120</v>
      </c>
      <c r="Y139" s="19">
        <v>10041</v>
      </c>
      <c r="Z139" s="19" t="s">
        <v>121</v>
      </c>
      <c r="AA139" s="19" t="s">
        <v>122</v>
      </c>
      <c r="AB139" s="19" t="s">
        <v>123</v>
      </c>
      <c r="AF139" s="19">
        <v>100</v>
      </c>
      <c r="AI139" s="68">
        <v>45938</v>
      </c>
      <c r="AJ139" s="94" t="s">
        <v>124</v>
      </c>
    </row>
    <row r="140" spans="1:36">
      <c r="A140" s="19"/>
      <c r="B140" s="20"/>
      <c r="C140" s="20"/>
      <c r="D140" s="20"/>
      <c r="E140" s="20" t="s">
        <v>155</v>
      </c>
      <c r="F140" s="20" t="s">
        <v>139</v>
      </c>
      <c r="G140" s="22" t="s">
        <v>140</v>
      </c>
      <c r="H140" s="107">
        <v>45975</v>
      </c>
      <c r="I140" s="107"/>
      <c r="J140" s="108">
        <v>2357</v>
      </c>
      <c r="K140" s="24"/>
      <c r="L140" s="23"/>
      <c r="M140" s="23"/>
      <c r="O140" s="20" t="s">
        <v>114</v>
      </c>
      <c r="P140" s="20" t="s">
        <v>115</v>
      </c>
      <c r="Q140" s="19">
        <v>1</v>
      </c>
      <c r="R140" s="59" t="s">
        <v>116</v>
      </c>
      <c r="S140" s="20" t="s">
        <v>113</v>
      </c>
      <c r="U140" s="20" t="s">
        <v>117</v>
      </c>
      <c r="V140" s="19" t="s">
        <v>118</v>
      </c>
      <c r="W140" s="19" t="s">
        <v>119</v>
      </c>
      <c r="X140" s="19" t="s">
        <v>120</v>
      </c>
      <c r="Y140" s="19">
        <v>10041</v>
      </c>
      <c r="Z140" s="19" t="s">
        <v>121</v>
      </c>
      <c r="AA140" s="19" t="s">
        <v>122</v>
      </c>
      <c r="AB140" s="19" t="s">
        <v>123</v>
      </c>
      <c r="AF140" s="19">
        <v>100</v>
      </c>
      <c r="AI140" s="68">
        <v>45938</v>
      </c>
      <c r="AJ140" s="94" t="s">
        <v>124</v>
      </c>
    </row>
    <row r="141" spans="1:36">
      <c r="A141" s="19"/>
      <c r="B141" s="20"/>
      <c r="C141" s="20"/>
      <c r="D141" s="20"/>
      <c r="E141" s="20" t="s">
        <v>155</v>
      </c>
      <c r="F141" s="20" t="s">
        <v>139</v>
      </c>
      <c r="G141" s="22" t="s">
        <v>140</v>
      </c>
      <c r="H141" s="107">
        <v>45975</v>
      </c>
      <c r="I141" s="107"/>
      <c r="J141" s="108">
        <v>1307</v>
      </c>
      <c r="K141" s="24" t="s">
        <v>113</v>
      </c>
      <c r="L141" s="23"/>
      <c r="M141" s="23"/>
      <c r="O141" s="20" t="s">
        <v>114</v>
      </c>
      <c r="P141" s="20" t="s">
        <v>115</v>
      </c>
      <c r="Q141" s="19">
        <v>1</v>
      </c>
      <c r="R141" s="59" t="s">
        <v>116</v>
      </c>
      <c r="S141" s="20" t="s">
        <v>113</v>
      </c>
      <c r="U141" s="20" t="s">
        <v>117</v>
      </c>
      <c r="V141" s="19" t="s">
        <v>118</v>
      </c>
      <c r="W141" s="19" t="s">
        <v>119</v>
      </c>
      <c r="X141" s="19" t="s">
        <v>120</v>
      </c>
      <c r="Y141" s="19">
        <v>10041</v>
      </c>
      <c r="Z141" s="19" t="s">
        <v>121</v>
      </c>
      <c r="AA141" s="19" t="s">
        <v>122</v>
      </c>
      <c r="AB141" s="19" t="s">
        <v>123</v>
      </c>
      <c r="AF141" s="19">
        <v>100</v>
      </c>
      <c r="AI141" s="68">
        <v>45938</v>
      </c>
      <c r="AJ141" s="94" t="s">
        <v>124</v>
      </c>
    </row>
    <row r="142" spans="1:36">
      <c r="A142" s="19"/>
      <c r="B142" s="20"/>
      <c r="C142" s="20"/>
      <c r="D142" s="20"/>
      <c r="E142" s="20" t="s">
        <v>155</v>
      </c>
      <c r="F142" s="20" t="s">
        <v>139</v>
      </c>
      <c r="G142" s="22" t="s">
        <v>140</v>
      </c>
      <c r="H142" s="107">
        <v>45978</v>
      </c>
      <c r="I142" s="107"/>
      <c r="J142" s="108">
        <v>1976</v>
      </c>
      <c r="K142" s="24" t="s">
        <v>113</v>
      </c>
      <c r="L142" s="23"/>
      <c r="M142" s="23"/>
      <c r="O142" s="20" t="s">
        <v>114</v>
      </c>
      <c r="P142" s="20" t="s">
        <v>115</v>
      </c>
      <c r="Q142" s="19">
        <v>1</v>
      </c>
      <c r="R142" s="59" t="s">
        <v>116</v>
      </c>
      <c r="S142" s="20" t="s">
        <v>113</v>
      </c>
      <c r="U142" s="20" t="s">
        <v>117</v>
      </c>
      <c r="V142" s="19" t="s">
        <v>118</v>
      </c>
      <c r="W142" s="19" t="s">
        <v>119</v>
      </c>
      <c r="X142" s="19" t="s">
        <v>120</v>
      </c>
      <c r="Y142" s="19">
        <v>10041</v>
      </c>
      <c r="Z142" s="19" t="s">
        <v>121</v>
      </c>
      <c r="AA142" s="19" t="s">
        <v>122</v>
      </c>
      <c r="AB142" s="19" t="s">
        <v>123</v>
      </c>
      <c r="AF142" s="19">
        <v>100</v>
      </c>
      <c r="AI142" s="68">
        <v>45938</v>
      </c>
      <c r="AJ142" s="94" t="s">
        <v>124</v>
      </c>
    </row>
    <row r="143" spans="1:36">
      <c r="A143" s="19"/>
      <c r="B143" s="20"/>
      <c r="C143" s="20"/>
      <c r="D143" s="20"/>
      <c r="E143" s="20" t="s">
        <v>155</v>
      </c>
      <c r="F143" s="20" t="s">
        <v>139</v>
      </c>
      <c r="G143" s="22" t="s">
        <v>140</v>
      </c>
      <c r="H143" s="107">
        <v>45979</v>
      </c>
      <c r="I143" s="107"/>
      <c r="J143" s="108">
        <v>2830</v>
      </c>
      <c r="K143" s="24"/>
      <c r="L143" s="23"/>
      <c r="M143" s="23"/>
      <c r="O143" s="20" t="s">
        <v>114</v>
      </c>
      <c r="P143" s="20" t="s">
        <v>115</v>
      </c>
      <c r="Q143" s="19">
        <v>1</v>
      </c>
      <c r="R143" s="59" t="s">
        <v>116</v>
      </c>
      <c r="S143" s="20" t="s">
        <v>113</v>
      </c>
      <c r="U143" s="20" t="s">
        <v>117</v>
      </c>
      <c r="V143" s="19" t="s">
        <v>118</v>
      </c>
      <c r="W143" s="19" t="s">
        <v>119</v>
      </c>
      <c r="X143" s="19" t="s">
        <v>120</v>
      </c>
      <c r="Y143" s="19">
        <v>10041</v>
      </c>
      <c r="Z143" s="19" t="s">
        <v>121</v>
      </c>
      <c r="AA143" s="19" t="s">
        <v>122</v>
      </c>
      <c r="AB143" s="19" t="s">
        <v>123</v>
      </c>
      <c r="AF143" s="19">
        <v>100</v>
      </c>
      <c r="AI143" s="68">
        <v>45938</v>
      </c>
      <c r="AJ143" s="94" t="s">
        <v>124</v>
      </c>
    </row>
    <row r="144" spans="1:36">
      <c r="A144" s="19"/>
      <c r="B144" s="20"/>
      <c r="C144" s="20"/>
      <c r="D144" s="20"/>
      <c r="E144" s="20" t="s">
        <v>155</v>
      </c>
      <c r="F144" s="20" t="s">
        <v>139</v>
      </c>
      <c r="G144" s="22" t="s">
        <v>140</v>
      </c>
      <c r="H144" s="107">
        <v>45979</v>
      </c>
      <c r="I144" s="107"/>
      <c r="J144" s="108">
        <v>21830</v>
      </c>
      <c r="K144" s="24" t="s">
        <v>113</v>
      </c>
      <c r="L144" s="23"/>
      <c r="M144" s="23"/>
      <c r="O144" s="20" t="s">
        <v>114</v>
      </c>
      <c r="P144" s="20" t="s">
        <v>115</v>
      </c>
      <c r="Q144" s="19">
        <v>1</v>
      </c>
      <c r="R144" s="59" t="s">
        <v>116</v>
      </c>
      <c r="S144" s="20" t="s">
        <v>113</v>
      </c>
      <c r="U144" s="20" t="s">
        <v>117</v>
      </c>
      <c r="V144" s="19" t="s">
        <v>118</v>
      </c>
      <c r="W144" s="19" t="s">
        <v>119</v>
      </c>
      <c r="X144" s="19" t="s">
        <v>120</v>
      </c>
      <c r="Y144" s="19">
        <v>10041</v>
      </c>
      <c r="Z144" s="19" t="s">
        <v>121</v>
      </c>
      <c r="AA144" s="19" t="s">
        <v>122</v>
      </c>
      <c r="AB144" s="19" t="s">
        <v>123</v>
      </c>
      <c r="AF144" s="19">
        <v>100</v>
      </c>
      <c r="AI144" s="68">
        <v>45938</v>
      </c>
      <c r="AJ144" s="94" t="s">
        <v>124</v>
      </c>
    </row>
    <row r="145" spans="1:36">
      <c r="A145" s="19"/>
      <c r="B145" s="20"/>
      <c r="C145" s="20"/>
      <c r="D145" s="20"/>
      <c r="E145" s="20" t="s">
        <v>155</v>
      </c>
      <c r="F145" s="20" t="s">
        <v>139</v>
      </c>
      <c r="G145" s="22" t="s">
        <v>140</v>
      </c>
      <c r="H145" s="107">
        <v>45980</v>
      </c>
      <c r="I145" s="107"/>
      <c r="J145" s="108">
        <v>35120</v>
      </c>
      <c r="K145" s="24"/>
      <c r="L145" s="23"/>
      <c r="M145" s="23"/>
      <c r="O145" s="20" t="s">
        <v>114</v>
      </c>
      <c r="P145" s="20" t="s">
        <v>115</v>
      </c>
      <c r="Q145" s="19">
        <v>1</v>
      </c>
      <c r="R145" s="59" t="s">
        <v>116</v>
      </c>
      <c r="S145" s="20" t="s">
        <v>113</v>
      </c>
      <c r="U145" s="20" t="s">
        <v>117</v>
      </c>
      <c r="V145" s="19" t="s">
        <v>118</v>
      </c>
      <c r="W145" s="19" t="s">
        <v>119</v>
      </c>
      <c r="X145" s="19" t="s">
        <v>120</v>
      </c>
      <c r="Y145" s="19">
        <v>10041</v>
      </c>
      <c r="Z145" s="19" t="s">
        <v>121</v>
      </c>
      <c r="AA145" s="19" t="s">
        <v>122</v>
      </c>
      <c r="AB145" s="19" t="s">
        <v>123</v>
      </c>
      <c r="AF145" s="19">
        <v>100</v>
      </c>
      <c r="AI145" s="68">
        <v>45938</v>
      </c>
      <c r="AJ145" s="94" t="s">
        <v>124</v>
      </c>
    </row>
    <row r="146" spans="1:36">
      <c r="A146" s="19"/>
      <c r="B146" s="20"/>
      <c r="C146" s="20"/>
      <c r="D146" s="20"/>
      <c r="E146" s="20" t="s">
        <v>155</v>
      </c>
      <c r="F146" s="20" t="s">
        <v>139</v>
      </c>
      <c r="G146" s="22" t="s">
        <v>140</v>
      </c>
      <c r="H146" s="107">
        <v>45980</v>
      </c>
      <c r="I146" s="107"/>
      <c r="J146" s="108">
        <v>39880</v>
      </c>
      <c r="K146" s="24"/>
      <c r="L146" s="23"/>
      <c r="M146" s="23"/>
      <c r="O146" s="20" t="s">
        <v>114</v>
      </c>
      <c r="P146" s="20" t="s">
        <v>115</v>
      </c>
      <c r="Q146" s="19">
        <v>1</v>
      </c>
      <c r="R146" s="59" t="s">
        <v>116</v>
      </c>
      <c r="S146" s="20" t="s">
        <v>113</v>
      </c>
      <c r="U146" s="20" t="s">
        <v>117</v>
      </c>
      <c r="V146" s="19" t="s">
        <v>118</v>
      </c>
      <c r="W146" s="19" t="s">
        <v>119</v>
      </c>
      <c r="X146" s="19" t="s">
        <v>120</v>
      </c>
      <c r="Y146" s="19">
        <v>10041</v>
      </c>
      <c r="Z146" s="19" t="s">
        <v>121</v>
      </c>
      <c r="AA146" s="19" t="s">
        <v>122</v>
      </c>
      <c r="AB146" s="19" t="s">
        <v>123</v>
      </c>
      <c r="AF146" s="19">
        <v>100</v>
      </c>
      <c r="AI146" s="68">
        <v>45938</v>
      </c>
      <c r="AJ146" s="94" t="s">
        <v>124</v>
      </c>
    </row>
    <row r="147" spans="1:36">
      <c r="A147" s="19"/>
      <c r="B147" s="20"/>
      <c r="C147" s="20"/>
      <c r="D147" s="20"/>
      <c r="E147" s="20" t="s">
        <v>155</v>
      </c>
      <c r="F147" s="20" t="s">
        <v>139</v>
      </c>
      <c r="G147" s="22" t="s">
        <v>140</v>
      </c>
      <c r="H147" s="107">
        <v>45980</v>
      </c>
      <c r="I147" s="107"/>
      <c r="J147" s="108">
        <v>80</v>
      </c>
      <c r="K147" s="24" t="s">
        <v>113</v>
      </c>
      <c r="L147" s="23"/>
      <c r="M147" s="23"/>
      <c r="O147" s="20" t="s">
        <v>114</v>
      </c>
      <c r="P147" s="20" t="s">
        <v>115</v>
      </c>
      <c r="Q147" s="19">
        <v>1</v>
      </c>
      <c r="R147" s="59" t="s">
        <v>116</v>
      </c>
      <c r="S147" s="20" t="s">
        <v>113</v>
      </c>
      <c r="U147" s="20" t="s">
        <v>117</v>
      </c>
      <c r="V147" s="19" t="s">
        <v>118</v>
      </c>
      <c r="W147" s="19" t="s">
        <v>119</v>
      </c>
      <c r="X147" s="19" t="s">
        <v>120</v>
      </c>
      <c r="Y147" s="19">
        <v>10041</v>
      </c>
      <c r="Z147" s="19" t="s">
        <v>121</v>
      </c>
      <c r="AA147" s="19" t="s">
        <v>122</v>
      </c>
      <c r="AB147" s="19" t="s">
        <v>123</v>
      </c>
      <c r="AF147" s="19">
        <v>100</v>
      </c>
      <c r="AI147" s="68">
        <v>45938</v>
      </c>
      <c r="AJ147" s="94" t="s">
        <v>124</v>
      </c>
    </row>
    <row r="148" spans="1:36">
      <c r="A148" s="19"/>
      <c r="B148" s="20"/>
      <c r="C148" s="20"/>
      <c r="D148" s="20"/>
      <c r="E148" s="20" t="s">
        <v>155</v>
      </c>
      <c r="F148" s="20" t="s">
        <v>139</v>
      </c>
      <c r="G148" s="22" t="s">
        <v>140</v>
      </c>
      <c r="H148" s="107">
        <v>45981</v>
      </c>
      <c r="I148" s="107"/>
      <c r="J148" s="108">
        <v>60000</v>
      </c>
      <c r="K148" s="24"/>
      <c r="L148" s="23"/>
      <c r="M148" s="23"/>
      <c r="O148" s="20" t="s">
        <v>114</v>
      </c>
      <c r="P148" s="20" t="s">
        <v>115</v>
      </c>
      <c r="Q148" s="19">
        <v>1</v>
      </c>
      <c r="R148" s="59" t="s">
        <v>116</v>
      </c>
      <c r="S148" s="20" t="s">
        <v>113</v>
      </c>
      <c r="U148" s="20" t="s">
        <v>117</v>
      </c>
      <c r="V148" s="19" t="s">
        <v>118</v>
      </c>
      <c r="W148" s="19" t="s">
        <v>119</v>
      </c>
      <c r="X148" s="19" t="s">
        <v>120</v>
      </c>
      <c r="Y148" s="19">
        <v>10041</v>
      </c>
      <c r="Z148" s="19" t="s">
        <v>121</v>
      </c>
      <c r="AA148" s="19" t="s">
        <v>122</v>
      </c>
      <c r="AB148" s="19" t="s">
        <v>123</v>
      </c>
      <c r="AF148" s="19">
        <v>100</v>
      </c>
      <c r="AI148" s="68">
        <v>45938</v>
      </c>
      <c r="AJ148" s="94" t="s">
        <v>124</v>
      </c>
    </row>
    <row r="149" spans="1:36">
      <c r="A149" s="19"/>
      <c r="B149" s="20"/>
      <c r="C149" s="20"/>
      <c r="D149" s="20"/>
      <c r="E149" s="20" t="s">
        <v>155</v>
      </c>
      <c r="F149" s="20" t="s">
        <v>139</v>
      </c>
      <c r="G149" s="22" t="s">
        <v>140</v>
      </c>
      <c r="H149" s="107">
        <v>45981</v>
      </c>
      <c r="I149" s="107"/>
      <c r="J149" s="108">
        <v>20260</v>
      </c>
      <c r="K149" s="24" t="s">
        <v>113</v>
      </c>
      <c r="L149" s="23"/>
      <c r="M149" s="23"/>
      <c r="O149" s="20" t="s">
        <v>114</v>
      </c>
      <c r="P149" s="20" t="s">
        <v>115</v>
      </c>
      <c r="Q149" s="19">
        <v>1</v>
      </c>
      <c r="R149" s="59" t="s">
        <v>116</v>
      </c>
      <c r="S149" s="20" t="s">
        <v>113</v>
      </c>
      <c r="U149" s="20" t="s">
        <v>117</v>
      </c>
      <c r="V149" s="19" t="s">
        <v>118</v>
      </c>
      <c r="W149" s="19" t="s">
        <v>119</v>
      </c>
      <c r="X149" s="19" t="s">
        <v>120</v>
      </c>
      <c r="Y149" s="19">
        <v>10041</v>
      </c>
      <c r="Z149" s="19" t="s">
        <v>121</v>
      </c>
      <c r="AA149" s="19" t="s">
        <v>122</v>
      </c>
      <c r="AB149" s="19" t="s">
        <v>123</v>
      </c>
      <c r="AF149" s="19">
        <v>100</v>
      </c>
      <c r="AI149" s="68">
        <v>45938</v>
      </c>
      <c r="AJ149" s="94" t="s">
        <v>124</v>
      </c>
    </row>
    <row r="150" spans="1:36">
      <c r="A150" s="19"/>
      <c r="B150" s="20"/>
      <c r="C150" s="20"/>
      <c r="D150" s="20"/>
      <c r="E150" s="20" t="s">
        <v>155</v>
      </c>
      <c r="F150" s="20" t="s">
        <v>139</v>
      </c>
      <c r="G150" s="22" t="s">
        <v>140</v>
      </c>
      <c r="H150" s="107">
        <v>45982</v>
      </c>
      <c r="I150" s="107"/>
      <c r="J150" s="108">
        <v>1428</v>
      </c>
      <c r="K150" s="24" t="s">
        <v>113</v>
      </c>
      <c r="L150" s="23"/>
      <c r="M150" s="23"/>
      <c r="O150" s="20" t="s">
        <v>114</v>
      </c>
      <c r="P150" s="20" t="s">
        <v>115</v>
      </c>
      <c r="Q150" s="19">
        <v>1</v>
      </c>
      <c r="R150" s="59" t="s">
        <v>116</v>
      </c>
      <c r="S150" s="20" t="s">
        <v>113</v>
      </c>
      <c r="U150" s="20" t="s">
        <v>117</v>
      </c>
      <c r="V150" s="19" t="s">
        <v>118</v>
      </c>
      <c r="W150" s="19" t="s">
        <v>119</v>
      </c>
      <c r="X150" s="19" t="s">
        <v>120</v>
      </c>
      <c r="Y150" s="19">
        <v>10041</v>
      </c>
      <c r="Z150" s="19" t="s">
        <v>121</v>
      </c>
      <c r="AA150" s="19" t="s">
        <v>122</v>
      </c>
      <c r="AB150" s="19" t="s">
        <v>123</v>
      </c>
      <c r="AF150" s="19">
        <v>100</v>
      </c>
      <c r="AI150" s="68">
        <v>45938</v>
      </c>
      <c r="AJ150" s="94" t="s">
        <v>124</v>
      </c>
    </row>
    <row r="151" spans="1:36">
      <c r="A151" s="19"/>
      <c r="B151" s="20"/>
      <c r="C151" s="20"/>
      <c r="D151" s="20"/>
      <c r="E151" s="20" t="s">
        <v>155</v>
      </c>
      <c r="F151" s="20" t="s">
        <v>139</v>
      </c>
      <c r="G151" s="22" t="s">
        <v>140</v>
      </c>
      <c r="H151" s="107">
        <v>45987</v>
      </c>
      <c r="I151" s="107"/>
      <c r="J151" s="108">
        <v>142</v>
      </c>
      <c r="K151" s="24" t="s">
        <v>113</v>
      </c>
      <c r="L151" s="23"/>
      <c r="M151" s="23"/>
      <c r="O151" s="20" t="s">
        <v>114</v>
      </c>
      <c r="P151" s="20" t="s">
        <v>115</v>
      </c>
      <c r="Q151" s="19">
        <v>1</v>
      </c>
      <c r="R151" s="59" t="s">
        <v>116</v>
      </c>
      <c r="S151" s="20" t="s">
        <v>113</v>
      </c>
      <c r="U151" s="20" t="s">
        <v>117</v>
      </c>
      <c r="V151" s="19" t="s">
        <v>118</v>
      </c>
      <c r="W151" s="19" t="s">
        <v>119</v>
      </c>
      <c r="X151" s="19" t="s">
        <v>120</v>
      </c>
      <c r="Y151" s="19">
        <v>10041</v>
      </c>
      <c r="Z151" s="19" t="s">
        <v>121</v>
      </c>
      <c r="AA151" s="19" t="s">
        <v>122</v>
      </c>
      <c r="AB151" s="19" t="s">
        <v>123</v>
      </c>
      <c r="AF151" s="19">
        <v>100</v>
      </c>
      <c r="AI151" s="68">
        <v>45938</v>
      </c>
      <c r="AJ151" s="94" t="s">
        <v>124</v>
      </c>
    </row>
    <row r="152" spans="1:36">
      <c r="A152" s="19"/>
      <c r="B152" s="20"/>
      <c r="C152" s="20"/>
      <c r="D152" s="20"/>
      <c r="E152" s="20" t="s">
        <v>155</v>
      </c>
      <c r="F152" s="20" t="s">
        <v>139</v>
      </c>
      <c r="G152" s="22" t="s">
        <v>140</v>
      </c>
      <c r="H152" s="107">
        <v>45989</v>
      </c>
      <c r="I152" s="107"/>
      <c r="J152" s="108">
        <v>50000</v>
      </c>
      <c r="K152" s="24" t="s">
        <v>113</v>
      </c>
      <c r="L152" s="23"/>
      <c r="M152" s="23"/>
      <c r="O152" s="20" t="s">
        <v>114</v>
      </c>
      <c r="P152" s="20" t="s">
        <v>115</v>
      </c>
      <c r="Q152" s="19">
        <v>1</v>
      </c>
      <c r="R152" s="59" t="s">
        <v>116</v>
      </c>
      <c r="S152" s="20" t="s">
        <v>113</v>
      </c>
      <c r="U152" s="20" t="s">
        <v>117</v>
      </c>
      <c r="V152" s="19" t="s">
        <v>118</v>
      </c>
      <c r="W152" s="19" t="s">
        <v>119</v>
      </c>
      <c r="X152" s="19" t="s">
        <v>120</v>
      </c>
      <c r="Y152" s="19">
        <v>10041</v>
      </c>
      <c r="Z152" s="19" t="s">
        <v>121</v>
      </c>
      <c r="AA152" s="19" t="s">
        <v>122</v>
      </c>
      <c r="AB152" s="19" t="s">
        <v>123</v>
      </c>
      <c r="AF152" s="19">
        <v>100</v>
      </c>
      <c r="AI152" s="68">
        <v>45938</v>
      </c>
      <c r="AJ152" s="94" t="s">
        <v>124</v>
      </c>
    </row>
    <row r="153" spans="1:36">
      <c r="A153" s="19"/>
      <c r="B153" s="20"/>
      <c r="C153" s="20"/>
      <c r="D153" s="20"/>
      <c r="E153" s="20" t="s">
        <v>155</v>
      </c>
      <c r="F153" s="20" t="s">
        <v>139</v>
      </c>
      <c r="G153" s="22" t="s">
        <v>140</v>
      </c>
      <c r="H153" s="107">
        <v>45993</v>
      </c>
      <c r="I153" s="107"/>
      <c r="J153" s="108">
        <v>57871</v>
      </c>
      <c r="K153" s="24">
        <f>SUM(J106:J153)</f>
        <v>1015159</v>
      </c>
      <c r="L153" s="23"/>
      <c r="M153" s="23"/>
      <c r="O153" s="20" t="s">
        <v>114</v>
      </c>
      <c r="P153" s="20" t="s">
        <v>115</v>
      </c>
      <c r="Q153" s="19">
        <v>1</v>
      </c>
      <c r="R153" s="59" t="s">
        <v>116</v>
      </c>
      <c r="S153" s="20" t="s">
        <v>113</v>
      </c>
      <c r="U153" s="20" t="s">
        <v>117</v>
      </c>
      <c r="V153" s="19" t="s">
        <v>118</v>
      </c>
      <c r="W153" s="19" t="s">
        <v>119</v>
      </c>
      <c r="X153" s="19" t="s">
        <v>120</v>
      </c>
      <c r="Y153" s="19">
        <v>10041</v>
      </c>
      <c r="Z153" s="19" t="s">
        <v>121</v>
      </c>
      <c r="AA153" s="19" t="s">
        <v>122</v>
      </c>
      <c r="AB153" s="19" t="s">
        <v>123</v>
      </c>
      <c r="AF153" s="19">
        <v>100</v>
      </c>
      <c r="AI153" s="68">
        <v>45938</v>
      </c>
      <c r="AJ153" s="94" t="s">
        <v>124</v>
      </c>
    </row>
    <row r="154" spans="1:36" ht="12.75">
      <c r="A154" s="19"/>
      <c r="B154" s="20"/>
      <c r="C154" s="20"/>
      <c r="D154" s="20"/>
      <c r="E154" s="20"/>
      <c r="F154" s="20"/>
      <c r="G154" s="22"/>
      <c r="H154" s="21"/>
      <c r="I154" s="22"/>
      <c r="J154" s="23"/>
      <c r="K154" s="24"/>
      <c r="L154" s="23"/>
      <c r="M154" s="23"/>
      <c r="O154" s="20"/>
      <c r="P154" s="20"/>
      <c r="R154" s="60"/>
      <c r="U154" s="22"/>
      <c r="V154" s="57"/>
      <c r="W154" s="19"/>
      <c r="X154" s="19"/>
      <c r="Y154" s="58"/>
      <c r="Z154" s="19"/>
    </row>
    <row r="155" spans="1:36" ht="12.95">
      <c r="B155" s="22"/>
      <c r="C155" s="22"/>
      <c r="D155" s="22"/>
      <c r="E155" s="61" t="s">
        <v>156</v>
      </c>
      <c r="F155" s="20"/>
      <c r="G155" s="22"/>
      <c r="H155" s="22"/>
      <c r="I155" s="22"/>
      <c r="J155" s="23"/>
      <c r="K155" s="62">
        <f>SUM(K106:K154)</f>
        <v>1015159</v>
      </c>
      <c r="L155" s="23"/>
      <c r="M155" s="23"/>
      <c r="R155" s="60"/>
      <c r="U155" s="22"/>
    </row>
    <row r="156" spans="1:36" ht="15.75" customHeight="1">
      <c r="A156" s="101"/>
      <c r="B156" s="99"/>
      <c r="C156" s="99"/>
      <c r="D156" s="99"/>
      <c r="E156" s="99"/>
      <c r="F156" s="99"/>
      <c r="G156" s="99"/>
      <c r="H156" s="99"/>
      <c r="I156" s="99"/>
      <c r="J156" s="100"/>
      <c r="K156" s="101"/>
      <c r="L156" s="101"/>
      <c r="M156" s="101"/>
      <c r="N156" s="101"/>
      <c r="O156" s="101"/>
      <c r="P156" s="101"/>
      <c r="Q156" s="101"/>
      <c r="R156" s="102"/>
      <c r="S156" s="101"/>
      <c r="T156" s="101"/>
      <c r="U156" s="99"/>
      <c r="V156" s="101"/>
      <c r="W156" s="101"/>
      <c r="X156" s="101"/>
      <c r="Y156" s="101"/>
      <c r="Z156" s="101"/>
      <c r="AA156" s="101"/>
      <c r="AB156" s="101"/>
      <c r="AC156" s="101"/>
      <c r="AD156" s="101"/>
      <c r="AE156" s="101"/>
      <c r="AF156" s="101"/>
      <c r="AG156" s="101"/>
      <c r="AH156" s="101"/>
      <c r="AI156" s="101"/>
      <c r="AJ156" s="101"/>
    </row>
    <row r="157" spans="1:36" ht="15.75" customHeight="1">
      <c r="J157" s="23"/>
      <c r="R157" s="60"/>
      <c r="U157" s="22"/>
    </row>
    <row r="158" spans="1:36" ht="15.75" customHeight="1">
      <c r="R158" s="60"/>
      <c r="U158" s="22"/>
    </row>
    <row r="159" spans="1:36" ht="15.75" customHeight="1">
      <c r="R159" s="60"/>
    </row>
    <row r="160" spans="1:36" ht="15.75" customHeight="1">
      <c r="R160" s="60"/>
    </row>
    <row r="161" spans="18:18" ht="15.75" customHeight="1">
      <c r="R161" s="60"/>
    </row>
    <row r="162" spans="18:18" ht="15.75" customHeight="1">
      <c r="R162" s="60"/>
    </row>
    <row r="163" spans="18:18" ht="15.75" customHeight="1">
      <c r="R163" s="60"/>
    </row>
    <row r="164" spans="18:18" ht="15.75" customHeight="1">
      <c r="R164" s="60"/>
    </row>
    <row r="165" spans="18:18" ht="15.75" customHeight="1">
      <c r="R165" s="60"/>
    </row>
    <row r="166" spans="18:18" ht="15.75" customHeight="1">
      <c r="R166" s="60"/>
    </row>
    <row r="167" spans="18:18" ht="15.75" customHeight="1">
      <c r="R167" s="60"/>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56EC-F883-4099-BA2D-C915C1066289}">
  <dimension ref="A1:B5"/>
  <sheetViews>
    <sheetView workbookViewId="0">
      <selection activeCell="B9" sqref="B9"/>
    </sheetView>
  </sheetViews>
  <sheetFormatPr defaultColWidth="8.85546875" defaultRowHeight="15"/>
  <cols>
    <col min="2" max="2" width="103" customWidth="1"/>
  </cols>
  <sheetData>
    <row r="1" spans="1:2">
      <c r="B1" s="56" t="s">
        <v>1</v>
      </c>
    </row>
    <row r="3" spans="1:2">
      <c r="A3" s="56" t="s">
        <v>157</v>
      </c>
      <c r="B3" s="56" t="s">
        <v>158</v>
      </c>
    </row>
    <row r="4" spans="1:2" ht="263.25" customHeight="1">
      <c r="A4" s="76" t="s">
        <v>145</v>
      </c>
      <c r="B4" s="103" t="s">
        <v>159</v>
      </c>
    </row>
    <row r="5" spans="1:2" ht="347.25" customHeight="1">
      <c r="A5" s="105" t="s">
        <v>127</v>
      </c>
      <c r="B5" s="106" t="s">
        <v>160</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02B2-D8E9-944B-9B76-95DBE1301ADB}">
  <sheetPr>
    <outlinePr summaryBelow="0" summaryRight="0"/>
  </sheetPr>
  <dimension ref="A1:W59"/>
  <sheetViews>
    <sheetView topLeftCell="A50" zoomScale="120" zoomScaleNormal="120" workbookViewId="0">
      <selection activeCell="F59" sqref="F59"/>
    </sheetView>
  </sheetViews>
  <sheetFormatPr defaultColWidth="12.42578125" defaultRowHeight="15.75" customHeight="1"/>
  <cols>
    <col min="1" max="1" width="27.140625" style="8" customWidth="1"/>
    <col min="2" max="3" width="12.42578125" style="8"/>
    <col min="4" max="4" width="18.42578125" style="8" customWidth="1"/>
    <col min="5" max="7" width="22.85546875" style="8" customWidth="1"/>
    <col min="8" max="8" width="25.42578125" style="8" customWidth="1"/>
    <col min="9" max="9" width="24.42578125" style="8" customWidth="1"/>
    <col min="10" max="12" width="18.42578125" style="8" customWidth="1"/>
    <col min="13" max="13" width="29.140625" style="8" customWidth="1"/>
    <col min="14" max="14" width="21.42578125" style="8" customWidth="1"/>
    <col min="15" max="15" width="16.42578125" style="8" customWidth="1"/>
    <col min="16" max="16384" width="12.42578125" style="8"/>
  </cols>
  <sheetData>
    <row r="1" spans="1:23" ht="15.75" customHeight="1">
      <c r="A1" s="7" t="s">
        <v>71</v>
      </c>
      <c r="B1" s="7" t="s">
        <v>72</v>
      </c>
      <c r="C1" s="7" t="s">
        <v>74</v>
      </c>
      <c r="D1" s="7" t="s">
        <v>161</v>
      </c>
      <c r="E1" s="7" t="s">
        <v>75</v>
      </c>
      <c r="F1" s="7" t="s">
        <v>162</v>
      </c>
      <c r="G1" s="7" t="s">
        <v>163</v>
      </c>
      <c r="H1" s="7" t="s">
        <v>164</v>
      </c>
      <c r="I1" s="7" t="s">
        <v>165</v>
      </c>
      <c r="J1" s="7"/>
      <c r="K1" s="7"/>
      <c r="L1" s="7"/>
      <c r="M1" s="7"/>
      <c r="N1" s="7"/>
      <c r="O1" s="7"/>
      <c r="P1" s="7"/>
      <c r="Q1" s="7"/>
      <c r="R1" s="7"/>
      <c r="S1" s="7"/>
      <c r="T1" s="7"/>
      <c r="U1" s="7"/>
      <c r="V1" s="7"/>
      <c r="W1" s="7"/>
    </row>
    <row r="2" spans="1:23" ht="14.1">
      <c r="A2" s="13" t="s">
        <v>166</v>
      </c>
      <c r="B2" s="14" t="s">
        <v>108</v>
      </c>
      <c r="C2" s="14" t="s">
        <v>109</v>
      </c>
      <c r="D2" s="13"/>
      <c r="E2" s="14" t="s">
        <v>110</v>
      </c>
      <c r="F2" s="14"/>
      <c r="G2" s="14"/>
      <c r="H2" s="13"/>
      <c r="I2" s="15" t="s">
        <v>143</v>
      </c>
    </row>
    <row r="3" spans="1:23" ht="14.1">
      <c r="A3" s="9"/>
      <c r="B3" s="11"/>
      <c r="C3" s="11"/>
      <c r="D3" s="16">
        <v>45938</v>
      </c>
      <c r="E3" s="10"/>
      <c r="F3" s="12">
        <v>11860000</v>
      </c>
      <c r="G3" s="10" t="s">
        <v>111</v>
      </c>
      <c r="H3" s="12">
        <f>F3</f>
        <v>11860000</v>
      </c>
      <c r="I3" s="12"/>
    </row>
    <row r="4" spans="1:23" ht="14.1">
      <c r="A4" s="9"/>
      <c r="B4" s="11"/>
      <c r="C4" s="11"/>
      <c r="D4" s="16">
        <v>45967</v>
      </c>
      <c r="E4" s="10"/>
      <c r="F4" s="110">
        <v>-1475353</v>
      </c>
      <c r="G4" s="10" t="s">
        <v>125</v>
      </c>
      <c r="H4" s="77">
        <f>H3+F4</f>
        <v>10384647</v>
      </c>
    </row>
    <row r="5" spans="1:23" ht="14.1">
      <c r="A5" s="9"/>
      <c r="B5" s="11"/>
      <c r="C5" s="11"/>
      <c r="D5" s="111">
        <v>45968</v>
      </c>
      <c r="E5" s="10"/>
      <c r="F5" s="110">
        <v>-2360179</v>
      </c>
      <c r="G5" s="10" t="s">
        <v>125</v>
      </c>
      <c r="H5" s="77">
        <f>H4+F5</f>
        <v>8024468</v>
      </c>
    </row>
    <row r="6" spans="1:23" ht="14.1">
      <c r="A6" s="9"/>
      <c r="B6" s="11"/>
      <c r="C6" s="11"/>
      <c r="D6" s="111">
        <v>45971</v>
      </c>
      <c r="E6" s="10"/>
      <c r="F6" s="110">
        <v>-283203</v>
      </c>
      <c r="G6" s="10" t="s">
        <v>125</v>
      </c>
      <c r="H6" s="77">
        <f>H5+F6</f>
        <v>7741265</v>
      </c>
    </row>
    <row r="7" spans="1:23" ht="14.1">
      <c r="A7" s="9"/>
      <c r="B7" s="11"/>
      <c r="C7" s="11"/>
      <c r="D7" s="111">
        <v>45973</v>
      </c>
      <c r="E7" s="10"/>
      <c r="F7" s="110">
        <v>-688880</v>
      </c>
      <c r="G7" s="10" t="s">
        <v>125</v>
      </c>
      <c r="H7" s="77">
        <f>H6+F7</f>
        <v>7052385</v>
      </c>
    </row>
    <row r="8" spans="1:23" ht="14.1">
      <c r="A8" s="9"/>
      <c r="B8" s="11"/>
      <c r="C8" s="11"/>
      <c r="D8" s="111">
        <v>45974</v>
      </c>
      <c r="E8" s="10"/>
      <c r="F8" s="110">
        <v>-141817</v>
      </c>
      <c r="G8" s="10" t="s">
        <v>125</v>
      </c>
      <c r="H8" s="77">
        <f>H7+F8</f>
        <v>6910568</v>
      </c>
    </row>
    <row r="9" spans="1:23" ht="14.1">
      <c r="A9" s="9"/>
      <c r="B9" s="11"/>
      <c r="C9" s="11"/>
      <c r="D9" s="111">
        <v>45975</v>
      </c>
      <c r="E9" s="10"/>
      <c r="F9" s="110">
        <v>-116812</v>
      </c>
      <c r="G9" s="10" t="s">
        <v>125</v>
      </c>
      <c r="H9" s="77">
        <f>H8+F9</f>
        <v>6793756</v>
      </c>
    </row>
    <row r="10" spans="1:23" ht="12.75">
      <c r="A10" s="9"/>
      <c r="B10" s="11"/>
      <c r="C10" s="11"/>
      <c r="D10" s="111">
        <v>45978</v>
      </c>
      <c r="E10" s="10"/>
      <c r="F10" s="110">
        <v>-13838</v>
      </c>
      <c r="G10" s="10" t="s">
        <v>125</v>
      </c>
      <c r="H10" s="77">
        <f>H9+F10</f>
        <v>6779918</v>
      </c>
    </row>
    <row r="11" spans="1:23" ht="12.75">
      <c r="A11" s="9"/>
      <c r="B11" s="11"/>
      <c r="C11" s="11"/>
      <c r="D11" s="111">
        <v>45979</v>
      </c>
      <c r="E11" s="10"/>
      <c r="F11" s="110">
        <v>-172620</v>
      </c>
      <c r="G11" s="10" t="s">
        <v>125</v>
      </c>
      <c r="H11" s="77">
        <f>H10+F11</f>
        <v>6607298</v>
      </c>
    </row>
    <row r="12" spans="1:23" ht="12.75">
      <c r="A12" s="9"/>
      <c r="B12" s="11"/>
      <c r="C12" s="11"/>
      <c r="D12" s="111">
        <v>45980</v>
      </c>
      <c r="E12" s="10"/>
      <c r="F12" s="110">
        <v>-525560</v>
      </c>
      <c r="G12" s="10" t="s">
        <v>125</v>
      </c>
      <c r="H12" s="77">
        <f>H11+F12</f>
        <v>6081738</v>
      </c>
    </row>
    <row r="13" spans="1:23" ht="12.75">
      <c r="A13" s="9"/>
      <c r="B13" s="11"/>
      <c r="C13" s="11"/>
      <c r="D13" s="111">
        <v>45981</v>
      </c>
      <c r="E13" s="10"/>
      <c r="F13" s="110">
        <v>-561820</v>
      </c>
      <c r="G13" s="10" t="s">
        <v>125</v>
      </c>
      <c r="H13" s="77">
        <f>H12+F13</f>
        <v>5519918</v>
      </c>
    </row>
    <row r="14" spans="1:23" ht="12.75">
      <c r="A14" s="9"/>
      <c r="B14" s="11"/>
      <c r="C14" s="11"/>
      <c r="D14" s="111">
        <v>45982</v>
      </c>
      <c r="E14" s="10"/>
      <c r="F14" s="110">
        <v>-10000</v>
      </c>
      <c r="G14" s="10" t="s">
        <v>125</v>
      </c>
      <c r="H14" s="77">
        <f>H13+F14</f>
        <v>5509918</v>
      </c>
    </row>
    <row r="15" spans="1:23" ht="12.75">
      <c r="A15" s="9"/>
      <c r="B15" s="11"/>
      <c r="C15" s="11"/>
      <c r="D15" s="111">
        <v>45987</v>
      </c>
      <c r="E15" s="10"/>
      <c r="F15" s="110">
        <v>-1000</v>
      </c>
      <c r="G15" s="10" t="s">
        <v>125</v>
      </c>
      <c r="H15" s="77">
        <f>H14+F15</f>
        <v>5508918</v>
      </c>
    </row>
    <row r="16" spans="1:23" ht="12.75">
      <c r="A16" s="9"/>
      <c r="B16" s="11"/>
      <c r="C16" s="11"/>
      <c r="D16" s="111">
        <v>45989</v>
      </c>
      <c r="E16" s="10"/>
      <c r="F16" s="110">
        <v>-350000</v>
      </c>
      <c r="G16" s="10" t="s">
        <v>125</v>
      </c>
      <c r="H16" s="77">
        <f>H15+F16</f>
        <v>5158918</v>
      </c>
    </row>
    <row r="17" spans="1:9" ht="12.75">
      <c r="A17" s="9"/>
      <c r="B17" s="11"/>
      <c r="C17" s="11"/>
      <c r="D17" s="111">
        <v>45993</v>
      </c>
      <c r="E17" s="10"/>
      <c r="F17" s="110">
        <v>-405103</v>
      </c>
      <c r="G17" s="10" t="s">
        <v>125</v>
      </c>
      <c r="H17" s="77">
        <f>H16+F17</f>
        <v>4753815</v>
      </c>
    </row>
    <row r="18" spans="1:9" ht="14.1">
      <c r="A18" s="9"/>
      <c r="B18" s="11"/>
      <c r="C18" s="11"/>
      <c r="E18" s="10"/>
      <c r="F18" s="10"/>
      <c r="G18" s="10"/>
    </row>
    <row r="19" spans="1:9" ht="14.1">
      <c r="A19" s="13" t="s">
        <v>166</v>
      </c>
      <c r="B19" s="14" t="s">
        <v>136</v>
      </c>
      <c r="C19" s="14" t="s">
        <v>137</v>
      </c>
      <c r="D19" s="13"/>
      <c r="E19" s="14" t="s">
        <v>167</v>
      </c>
      <c r="F19" s="14"/>
      <c r="G19" s="14"/>
      <c r="H19" s="13"/>
      <c r="I19" s="15">
        <v>200000000</v>
      </c>
    </row>
    <row r="20" spans="1:9" ht="13.5">
      <c r="A20" s="9"/>
      <c r="B20" s="11"/>
      <c r="C20" s="11"/>
      <c r="D20" s="111">
        <v>45967</v>
      </c>
      <c r="F20" s="77">
        <v>1475353</v>
      </c>
      <c r="G20" s="78" t="s">
        <v>139</v>
      </c>
      <c r="H20" s="77">
        <f>SUM(F20)</f>
        <v>1475353</v>
      </c>
    </row>
    <row r="21" spans="1:9" ht="13.5">
      <c r="A21" s="9"/>
      <c r="B21" s="11"/>
      <c r="C21" s="11"/>
      <c r="D21" s="111">
        <v>45968</v>
      </c>
      <c r="E21" s="10"/>
      <c r="F21" s="77">
        <v>2360179</v>
      </c>
      <c r="G21" s="78" t="s">
        <v>139</v>
      </c>
      <c r="H21" s="77">
        <f>H20+F21</f>
        <v>3835532</v>
      </c>
    </row>
    <row r="22" spans="1:9" ht="13.5">
      <c r="A22" s="9"/>
      <c r="B22" s="11"/>
      <c r="C22" s="11"/>
      <c r="D22" s="111">
        <v>45971</v>
      </c>
      <c r="E22" s="10"/>
      <c r="F22" s="77">
        <v>283203</v>
      </c>
      <c r="G22" s="78" t="s">
        <v>139</v>
      </c>
      <c r="H22" s="77">
        <f>H21+F22</f>
        <v>4118735</v>
      </c>
    </row>
    <row r="23" spans="1:9" ht="13.5">
      <c r="A23" s="9"/>
      <c r="B23" s="11"/>
      <c r="C23" s="11"/>
      <c r="D23" s="111">
        <v>45973</v>
      </c>
      <c r="E23" s="10"/>
      <c r="F23" s="77">
        <v>688880</v>
      </c>
      <c r="G23" s="78" t="s">
        <v>139</v>
      </c>
      <c r="H23" s="77">
        <f>H22+F23</f>
        <v>4807615</v>
      </c>
    </row>
    <row r="24" spans="1:9" ht="13.5">
      <c r="A24" s="9"/>
      <c r="B24" s="11"/>
      <c r="C24" s="11"/>
      <c r="D24" s="111">
        <v>45974</v>
      </c>
      <c r="E24" s="10"/>
      <c r="F24" s="77">
        <v>141817</v>
      </c>
      <c r="G24" s="78" t="s">
        <v>139</v>
      </c>
      <c r="H24" s="77">
        <f>H23+F24</f>
        <v>4949432</v>
      </c>
    </row>
    <row r="25" spans="1:9" ht="13.5">
      <c r="A25" s="9"/>
      <c r="B25" s="11"/>
      <c r="C25" s="11"/>
      <c r="D25" s="111">
        <v>45975</v>
      </c>
      <c r="E25" s="10"/>
      <c r="F25" s="77">
        <v>116812</v>
      </c>
      <c r="G25" s="78" t="s">
        <v>139</v>
      </c>
      <c r="H25" s="77">
        <f>H24+F25</f>
        <v>5066244</v>
      </c>
    </row>
    <row r="26" spans="1:9" ht="13.5">
      <c r="A26" s="9"/>
      <c r="B26" s="11"/>
      <c r="C26" s="11"/>
      <c r="D26" s="111">
        <v>45978</v>
      </c>
      <c r="E26" s="10"/>
      <c r="F26" s="77">
        <v>13838</v>
      </c>
      <c r="G26" s="78" t="s">
        <v>139</v>
      </c>
      <c r="H26" s="77">
        <f>H25+F26</f>
        <v>5080082</v>
      </c>
    </row>
    <row r="27" spans="1:9" ht="13.5">
      <c r="A27" s="9"/>
      <c r="B27" s="11"/>
      <c r="C27" s="11"/>
      <c r="D27" s="111">
        <v>45979</v>
      </c>
      <c r="E27" s="10"/>
      <c r="F27" s="77">
        <v>172620</v>
      </c>
      <c r="G27" s="78" t="s">
        <v>139</v>
      </c>
      <c r="H27" s="77">
        <f>H26+F27</f>
        <v>5252702</v>
      </c>
    </row>
    <row r="28" spans="1:9" ht="13.5">
      <c r="A28" s="9"/>
      <c r="B28" s="11"/>
      <c r="C28" s="11"/>
      <c r="D28" s="111">
        <v>45980</v>
      </c>
      <c r="E28" s="10"/>
      <c r="F28" s="77">
        <v>525560</v>
      </c>
      <c r="G28" s="78" t="s">
        <v>139</v>
      </c>
      <c r="H28" s="77">
        <f>H27+F28</f>
        <v>5778262</v>
      </c>
    </row>
    <row r="29" spans="1:9" ht="13.5">
      <c r="A29" s="9"/>
      <c r="B29" s="11"/>
      <c r="C29" s="11"/>
      <c r="D29" s="111">
        <v>45981</v>
      </c>
      <c r="E29" s="10"/>
      <c r="F29" s="77">
        <v>561820</v>
      </c>
      <c r="G29" s="78" t="s">
        <v>139</v>
      </c>
      <c r="H29" s="77">
        <f>H28+F29</f>
        <v>6340082</v>
      </c>
    </row>
    <row r="30" spans="1:9" ht="13.5">
      <c r="A30" s="9"/>
      <c r="B30" s="11"/>
      <c r="C30" s="11"/>
      <c r="D30" s="111">
        <v>45982</v>
      </c>
      <c r="E30" s="10"/>
      <c r="F30" s="77">
        <v>10000</v>
      </c>
      <c r="G30" s="78" t="s">
        <v>139</v>
      </c>
      <c r="H30" s="77">
        <f>H29+F30</f>
        <v>6350082</v>
      </c>
    </row>
    <row r="31" spans="1:9" ht="13.5">
      <c r="A31" s="9"/>
      <c r="B31" s="11"/>
      <c r="C31" s="11"/>
      <c r="D31" s="111">
        <v>45987</v>
      </c>
      <c r="E31" s="10"/>
      <c r="F31" s="77">
        <v>1000</v>
      </c>
      <c r="G31" s="78" t="s">
        <v>139</v>
      </c>
      <c r="H31" s="77">
        <f>H30+F31</f>
        <v>6351082</v>
      </c>
    </row>
    <row r="32" spans="1:9" ht="13.5">
      <c r="A32" s="9"/>
      <c r="B32" s="11"/>
      <c r="C32" s="11"/>
      <c r="D32" s="111">
        <v>45989</v>
      </c>
      <c r="E32" s="10"/>
      <c r="F32" s="77">
        <v>350000</v>
      </c>
      <c r="G32" s="78" t="s">
        <v>139</v>
      </c>
      <c r="H32" s="77">
        <f>H31+F32</f>
        <v>6701082</v>
      </c>
    </row>
    <row r="33" spans="1:9" ht="13.5">
      <c r="A33" s="9"/>
      <c r="B33" s="11"/>
      <c r="C33" s="11"/>
      <c r="D33" s="111">
        <v>45993</v>
      </c>
      <c r="E33" s="10"/>
      <c r="F33" s="77">
        <v>405103</v>
      </c>
      <c r="G33" s="78" t="s">
        <v>139</v>
      </c>
      <c r="H33" s="77">
        <f>H32+F33</f>
        <v>7106185</v>
      </c>
    </row>
    <row r="34" spans="1:9" ht="14.1">
      <c r="A34" s="9"/>
      <c r="B34" s="11"/>
      <c r="C34" s="11"/>
      <c r="E34" s="10"/>
      <c r="F34" s="10"/>
      <c r="G34" s="10"/>
    </row>
    <row r="35" spans="1:9" ht="14.1">
      <c r="A35" s="13" t="s">
        <v>166</v>
      </c>
      <c r="B35" s="14" t="s">
        <v>143</v>
      </c>
      <c r="C35" s="14" t="s">
        <v>143</v>
      </c>
      <c r="D35" s="13"/>
      <c r="E35" s="14" t="s">
        <v>168</v>
      </c>
      <c r="F35" s="14"/>
      <c r="G35" s="14"/>
      <c r="H35" s="13"/>
      <c r="I35" s="15">
        <v>10000000</v>
      </c>
    </row>
    <row r="36" spans="1:9" ht="14.1">
      <c r="A36" s="9"/>
      <c r="B36" s="11"/>
      <c r="C36" s="11"/>
      <c r="D36" s="16">
        <v>45938</v>
      </c>
      <c r="E36" s="10"/>
      <c r="F36" s="12">
        <v>3833333</v>
      </c>
      <c r="G36" s="10" t="s">
        <v>111</v>
      </c>
      <c r="H36" s="12">
        <v>3833333</v>
      </c>
    </row>
    <row r="37" spans="1:9" ht="14.1">
      <c r="A37" s="9"/>
      <c r="B37" s="11"/>
      <c r="C37" s="11"/>
      <c r="E37" s="10"/>
      <c r="F37" s="12"/>
      <c r="G37" s="10"/>
    </row>
    <row r="38" spans="1:9" ht="14.1">
      <c r="A38" s="9"/>
      <c r="B38" s="11"/>
      <c r="C38" s="11"/>
      <c r="E38" s="10"/>
      <c r="F38" s="10"/>
      <c r="G38" s="10"/>
    </row>
    <row r="39" spans="1:9" ht="14.1">
      <c r="A39" s="9"/>
      <c r="B39" s="11"/>
      <c r="C39" s="11"/>
      <c r="E39" s="10"/>
      <c r="F39" s="10"/>
      <c r="G39" s="10"/>
    </row>
    <row r="40" spans="1:9" ht="14.1">
      <c r="A40" s="9"/>
      <c r="B40" s="11"/>
      <c r="C40" s="11"/>
      <c r="E40" s="10"/>
      <c r="F40" s="10"/>
      <c r="G40" s="10"/>
    </row>
    <row r="41" spans="1:9" ht="14.1">
      <c r="A41" s="9"/>
      <c r="B41" s="11"/>
      <c r="C41" s="11"/>
      <c r="E41" s="10"/>
      <c r="F41" s="10"/>
      <c r="G41" s="10"/>
    </row>
    <row r="42" spans="1:9" ht="14.1">
      <c r="A42" s="9"/>
      <c r="B42" s="11"/>
      <c r="C42" s="11"/>
      <c r="E42" s="10"/>
      <c r="F42" s="10"/>
      <c r="G42" s="10"/>
    </row>
    <row r="43" spans="1:9" ht="14.1">
      <c r="A43" s="9"/>
      <c r="B43" s="11"/>
      <c r="C43" s="11"/>
      <c r="E43" s="10"/>
      <c r="F43" s="10"/>
      <c r="G43" s="10"/>
    </row>
    <row r="44" spans="1:9" ht="14.1">
      <c r="A44" s="13" t="s">
        <v>166</v>
      </c>
      <c r="B44" s="14" t="s">
        <v>153</v>
      </c>
      <c r="C44" s="14" t="s">
        <v>154</v>
      </c>
      <c r="D44" s="13"/>
      <c r="E44" s="14" t="s">
        <v>155</v>
      </c>
      <c r="F44" s="14"/>
      <c r="G44" s="14"/>
      <c r="H44" s="13"/>
      <c r="I44" s="15" t="s">
        <v>143</v>
      </c>
    </row>
    <row r="45" spans="1:9" ht="15.75" customHeight="1">
      <c r="D45" s="111">
        <v>45967</v>
      </c>
      <c r="F45" s="12">
        <v>890011</v>
      </c>
      <c r="G45" s="10" t="s">
        <v>139</v>
      </c>
      <c r="H45" s="12">
        <f>F45</f>
        <v>890011</v>
      </c>
    </row>
    <row r="46" spans="1:9" ht="15.75" customHeight="1">
      <c r="D46" s="111">
        <v>45967</v>
      </c>
      <c r="F46" s="110">
        <v>-679247</v>
      </c>
      <c r="G46" s="11" t="s">
        <v>125</v>
      </c>
      <c r="H46" s="112">
        <f>H45+F46</f>
        <v>210764</v>
      </c>
    </row>
    <row r="47" spans="1:9" ht="15.75" customHeight="1">
      <c r="D47" s="111">
        <v>45968</v>
      </c>
      <c r="F47" s="110">
        <v>337166</v>
      </c>
      <c r="G47" s="10" t="s">
        <v>139</v>
      </c>
      <c r="H47" s="112">
        <f>H46+F47</f>
        <v>547930</v>
      </c>
    </row>
    <row r="48" spans="1:9" ht="15.75" customHeight="1">
      <c r="D48" s="111">
        <v>45971</v>
      </c>
      <c r="F48" s="110">
        <v>40457</v>
      </c>
      <c r="G48" s="10" t="s">
        <v>139</v>
      </c>
      <c r="H48" s="112">
        <f>H47+F48</f>
        <v>588387</v>
      </c>
    </row>
    <row r="49" spans="4:8" ht="15.75" customHeight="1">
      <c r="D49" s="111">
        <v>45973</v>
      </c>
      <c r="F49" s="110">
        <v>98410</v>
      </c>
      <c r="G49" s="10" t="s">
        <v>139</v>
      </c>
      <c r="H49" s="112">
        <f>H48+F49</f>
        <v>686797</v>
      </c>
    </row>
    <row r="50" spans="4:8" ht="15.75" customHeight="1">
      <c r="D50" s="111">
        <v>45974</v>
      </c>
      <c r="F50" s="110">
        <v>20258</v>
      </c>
      <c r="G50" s="10" t="s">
        <v>139</v>
      </c>
      <c r="H50" s="112">
        <f>H49+F50</f>
        <v>707055</v>
      </c>
    </row>
    <row r="51" spans="4:8" ht="15.75" customHeight="1">
      <c r="D51" s="111">
        <v>45975</v>
      </c>
      <c r="F51" s="110">
        <v>16687</v>
      </c>
      <c r="G51" s="10" t="s">
        <v>139</v>
      </c>
      <c r="H51" s="112">
        <f>H50+F51</f>
        <v>723742</v>
      </c>
    </row>
    <row r="52" spans="4:8" ht="15.75" customHeight="1">
      <c r="D52" s="111">
        <v>45978</v>
      </c>
      <c r="F52" s="110">
        <v>1976</v>
      </c>
      <c r="G52" s="10" t="s">
        <v>139</v>
      </c>
      <c r="H52" s="112">
        <f>H51+F52</f>
        <v>725718</v>
      </c>
    </row>
    <row r="53" spans="4:8" ht="15.75" customHeight="1">
      <c r="D53" s="111">
        <v>45979</v>
      </c>
      <c r="F53" s="110">
        <v>24660</v>
      </c>
      <c r="G53" s="10" t="s">
        <v>139</v>
      </c>
      <c r="H53" s="112">
        <f>H52+F53</f>
        <v>750378</v>
      </c>
    </row>
    <row r="54" spans="4:8" ht="15.75" customHeight="1">
      <c r="D54" s="111">
        <v>45980</v>
      </c>
      <c r="F54" s="110">
        <v>75080</v>
      </c>
      <c r="G54" s="10" t="s">
        <v>139</v>
      </c>
      <c r="H54" s="112">
        <f>H53+F54</f>
        <v>825458</v>
      </c>
    </row>
    <row r="55" spans="4:8" ht="15.75" customHeight="1">
      <c r="D55" s="111">
        <v>45981</v>
      </c>
      <c r="F55" s="110">
        <v>80260</v>
      </c>
      <c r="G55" s="10" t="s">
        <v>139</v>
      </c>
      <c r="H55" s="112">
        <f>H54+F55</f>
        <v>905718</v>
      </c>
    </row>
    <row r="56" spans="4:8" ht="15.75" customHeight="1">
      <c r="D56" s="111">
        <v>45982</v>
      </c>
      <c r="F56" s="110">
        <v>1428</v>
      </c>
      <c r="G56" s="10" t="s">
        <v>139</v>
      </c>
      <c r="H56" s="112">
        <f>H55+F56</f>
        <v>907146</v>
      </c>
    </row>
    <row r="57" spans="4:8" ht="15.75" customHeight="1">
      <c r="D57" s="111">
        <v>45987</v>
      </c>
      <c r="F57" s="8">
        <v>142</v>
      </c>
      <c r="G57" s="10" t="s">
        <v>139</v>
      </c>
      <c r="H57" s="112">
        <f>H56+F57</f>
        <v>907288</v>
      </c>
    </row>
    <row r="58" spans="4:8" ht="15.75" customHeight="1">
      <c r="D58" s="111">
        <v>45989</v>
      </c>
      <c r="F58" s="110">
        <v>50000</v>
      </c>
      <c r="G58" s="10" t="s">
        <v>139</v>
      </c>
      <c r="H58" s="112">
        <f>H57+F58</f>
        <v>957288</v>
      </c>
    </row>
    <row r="59" spans="4:8" ht="15.75" customHeight="1">
      <c r="D59" s="111">
        <v>45993</v>
      </c>
      <c r="F59" s="110">
        <v>57871</v>
      </c>
      <c r="G59" s="10" t="s">
        <v>139</v>
      </c>
      <c r="H59" s="112">
        <f>H58+F59</f>
        <v>1015159</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D53C-8335-0E41-A04B-D078C25C6E48}">
  <sheetPr>
    <pageSetUpPr fitToPage="1"/>
  </sheetPr>
  <dimension ref="A1:G51"/>
  <sheetViews>
    <sheetView showGridLines="0" workbookViewId="0">
      <selection activeCell="E35" sqref="E35"/>
    </sheetView>
  </sheetViews>
  <sheetFormatPr defaultColWidth="8.85546875" defaultRowHeight="14.1"/>
  <cols>
    <col min="1" max="1" width="3.85546875" style="8" customWidth="1"/>
    <col min="2" max="2" width="38.140625" style="8" customWidth="1"/>
    <col min="3" max="3" width="45.85546875" style="8" customWidth="1"/>
    <col min="4" max="4" width="42" style="8" customWidth="1"/>
    <col min="5" max="5" width="40" style="8" customWidth="1"/>
    <col min="6" max="6" width="3.85546875" style="8" customWidth="1"/>
    <col min="7" max="8" width="28.42578125" style="8" customWidth="1"/>
    <col min="9" max="16384" width="8.85546875" style="8"/>
  </cols>
  <sheetData>
    <row r="1" spans="1:7" ht="15.95">
      <c r="A1" s="30"/>
      <c r="B1" s="30"/>
      <c r="C1" s="30"/>
      <c r="D1" s="30"/>
      <c r="E1" s="30"/>
      <c r="F1" s="30"/>
      <c r="G1" s="31"/>
    </row>
    <row r="2" spans="1:7" ht="15.95">
      <c r="A2" s="30"/>
      <c r="B2" s="30"/>
      <c r="C2" s="30"/>
      <c r="D2" s="30"/>
      <c r="E2" s="30"/>
      <c r="F2" s="30"/>
      <c r="G2" s="31"/>
    </row>
    <row r="3" spans="1:7" ht="15.95">
      <c r="A3" s="30"/>
      <c r="B3" s="38" t="s">
        <v>169</v>
      </c>
      <c r="C3" s="38"/>
      <c r="D3" s="38"/>
      <c r="E3" s="38"/>
      <c r="F3" s="30"/>
      <c r="G3" s="31"/>
    </row>
    <row r="4" spans="1:7" ht="15.95">
      <c r="A4" s="30"/>
      <c r="B4" s="38" t="s">
        <v>170</v>
      </c>
      <c r="C4" s="38"/>
      <c r="D4" s="38"/>
      <c r="E4" s="38"/>
      <c r="F4" s="30"/>
      <c r="G4" s="31"/>
    </row>
    <row r="5" spans="1:7" ht="15.95">
      <c r="A5" s="30"/>
      <c r="B5" s="38" t="s">
        <v>171</v>
      </c>
      <c r="C5" s="38"/>
      <c r="D5" s="38"/>
      <c r="E5" s="38"/>
      <c r="F5" s="30"/>
      <c r="G5" s="31"/>
    </row>
    <row r="6" spans="1:7" ht="15.95">
      <c r="A6" s="30"/>
      <c r="B6" s="30"/>
      <c r="C6" s="30"/>
      <c r="D6" s="30"/>
      <c r="E6" s="30"/>
      <c r="F6" s="30"/>
      <c r="G6" s="31"/>
    </row>
    <row r="7" spans="1:7" ht="15.95">
      <c r="A7" s="30"/>
      <c r="B7" s="30"/>
      <c r="C7" s="30"/>
      <c r="D7" s="30"/>
      <c r="E7" s="30"/>
      <c r="F7" s="30"/>
      <c r="G7" s="31"/>
    </row>
    <row r="8" spans="1:7" ht="15.95">
      <c r="A8" s="30"/>
      <c r="B8" s="26" t="s">
        <v>169</v>
      </c>
      <c r="C8" s="30"/>
      <c r="D8" s="30"/>
      <c r="E8" s="30"/>
      <c r="F8" s="30"/>
      <c r="G8" s="31"/>
    </row>
    <row r="9" spans="1:7" ht="15.95">
      <c r="A9" s="30"/>
      <c r="B9" s="26" t="s">
        <v>172</v>
      </c>
      <c r="C9" s="30"/>
      <c r="D9" s="30"/>
      <c r="E9" s="30"/>
      <c r="F9" s="30"/>
      <c r="G9" s="31"/>
    </row>
    <row r="10" spans="1:7" ht="15.95">
      <c r="A10" s="30"/>
      <c r="B10" s="26" t="s">
        <v>113</v>
      </c>
      <c r="C10" s="30"/>
      <c r="D10" s="30"/>
      <c r="E10" s="30"/>
      <c r="F10" s="30"/>
      <c r="G10" s="31"/>
    </row>
    <row r="11" spans="1:7" ht="15.95">
      <c r="A11" s="30"/>
      <c r="B11" s="26" t="s">
        <v>113</v>
      </c>
      <c r="C11" s="30"/>
      <c r="D11" s="30"/>
      <c r="E11" s="30"/>
      <c r="F11" s="30"/>
      <c r="G11" s="31"/>
    </row>
    <row r="12" spans="1:7" ht="15.95">
      <c r="A12" s="30"/>
      <c r="B12" s="26" t="s">
        <v>113</v>
      </c>
      <c r="C12" s="30"/>
      <c r="D12" s="30"/>
      <c r="E12" s="30"/>
      <c r="F12" s="30"/>
      <c r="G12" s="31"/>
    </row>
    <row r="13" spans="1:7" ht="15.95">
      <c r="A13" s="30"/>
      <c r="B13" s="26" t="s">
        <v>173</v>
      </c>
      <c r="C13" s="30"/>
      <c r="D13" s="30"/>
      <c r="E13" s="30"/>
      <c r="F13" s="30"/>
      <c r="G13" s="31"/>
    </row>
    <row r="14" spans="1:7" ht="15.95">
      <c r="A14" s="30"/>
      <c r="B14" s="26"/>
      <c r="C14" s="30"/>
      <c r="D14" s="30"/>
      <c r="E14" s="30"/>
      <c r="F14" s="30"/>
      <c r="G14" s="31"/>
    </row>
    <row r="15" spans="1:7" ht="15.95">
      <c r="A15" s="30"/>
      <c r="B15" s="67" t="s">
        <v>174</v>
      </c>
      <c r="C15" s="30"/>
      <c r="D15" s="30"/>
      <c r="E15" s="30"/>
      <c r="F15" s="30"/>
      <c r="G15" s="31"/>
    </row>
    <row r="16" spans="1:7" ht="15.95">
      <c r="A16" s="30"/>
      <c r="B16" s="26"/>
      <c r="C16" s="30"/>
      <c r="D16" s="30"/>
      <c r="E16" s="30"/>
      <c r="F16" s="30"/>
      <c r="G16" s="31"/>
    </row>
    <row r="17" spans="1:7" ht="15.95">
      <c r="A17" s="30"/>
      <c r="B17" s="32"/>
      <c r="C17" s="30"/>
      <c r="D17" s="30"/>
      <c r="E17" s="30"/>
      <c r="F17" s="30"/>
      <c r="G17" s="31"/>
    </row>
    <row r="18" spans="1:7" ht="17.100000000000001">
      <c r="A18" s="30"/>
      <c r="B18" s="34" t="s">
        <v>175</v>
      </c>
      <c r="C18" s="34" t="s">
        <v>176</v>
      </c>
      <c r="D18" s="34" t="s">
        <v>177</v>
      </c>
      <c r="E18" s="34" t="s">
        <v>178</v>
      </c>
      <c r="F18" s="30"/>
      <c r="G18" s="31"/>
    </row>
    <row r="19" spans="1:7" ht="15.95">
      <c r="A19" s="30"/>
      <c r="B19" s="40" t="s">
        <v>169</v>
      </c>
      <c r="C19" s="113" t="s">
        <v>113</v>
      </c>
      <c r="D19" s="116" t="s">
        <v>36</v>
      </c>
      <c r="E19" s="119" t="s">
        <v>113</v>
      </c>
      <c r="F19" s="30"/>
      <c r="G19" s="31"/>
    </row>
    <row r="20" spans="1:7" ht="17.100000000000001">
      <c r="A20" s="30"/>
      <c r="B20" s="28" t="s">
        <v>179</v>
      </c>
      <c r="C20" s="114"/>
      <c r="D20" s="117"/>
      <c r="E20" s="120"/>
      <c r="F20" s="30"/>
      <c r="G20" s="31"/>
    </row>
    <row r="21" spans="1:7" ht="17.100000000000001">
      <c r="A21" s="30"/>
      <c r="B21" s="29" t="s">
        <v>180</v>
      </c>
      <c r="C21" s="115"/>
      <c r="D21" s="118"/>
      <c r="E21" s="121"/>
      <c r="F21" s="30"/>
      <c r="G21" s="31"/>
    </row>
    <row r="22" spans="1:7" ht="15.95">
      <c r="A22" s="30"/>
      <c r="B22" s="32"/>
      <c r="C22" s="30"/>
      <c r="D22" s="30"/>
      <c r="E22" s="30"/>
      <c r="F22" s="30"/>
      <c r="G22" s="31"/>
    </row>
    <row r="23" spans="1:7" ht="17.100000000000001">
      <c r="A23" s="30"/>
      <c r="B23" s="27" t="s">
        <v>181</v>
      </c>
      <c r="C23" s="34" t="s">
        <v>161</v>
      </c>
      <c r="D23" s="34" t="s">
        <v>182</v>
      </c>
      <c r="E23" s="34" t="s">
        <v>183</v>
      </c>
      <c r="F23" s="30"/>
      <c r="G23" s="31"/>
    </row>
    <row r="24" spans="1:7" ht="17.100000000000001">
      <c r="A24" s="30"/>
      <c r="B24" s="27" t="s">
        <v>184</v>
      </c>
      <c r="C24" s="35" t="s">
        <v>36</v>
      </c>
      <c r="D24" s="36" t="s">
        <v>113</v>
      </c>
      <c r="E24" s="37">
        <v>10</v>
      </c>
      <c r="F24" s="30"/>
      <c r="G24" s="31"/>
    </row>
    <row r="25" spans="1:7" ht="15.95">
      <c r="A25" s="30"/>
      <c r="B25" s="30"/>
      <c r="C25" s="30"/>
      <c r="D25" s="30"/>
      <c r="E25" s="30"/>
      <c r="F25" s="30"/>
      <c r="G25" s="31"/>
    </row>
    <row r="26" spans="1:7" ht="15.95">
      <c r="A26" s="30"/>
      <c r="B26" s="30"/>
      <c r="C26" s="30"/>
      <c r="D26" s="30"/>
      <c r="E26" s="30"/>
      <c r="F26" s="30"/>
      <c r="G26" s="31"/>
    </row>
    <row r="27" spans="1:7" ht="15.95">
      <c r="A27" s="30"/>
      <c r="B27" s="33" t="s">
        <v>185</v>
      </c>
      <c r="C27" s="30"/>
      <c r="D27" s="30"/>
      <c r="E27" s="30"/>
      <c r="F27" s="30"/>
      <c r="G27" s="31"/>
    </row>
    <row r="28" spans="1:7" ht="15.95">
      <c r="A28" s="30"/>
      <c r="B28" s="26"/>
      <c r="C28" s="30"/>
      <c r="D28" s="30"/>
      <c r="E28" s="30"/>
      <c r="F28" s="30"/>
      <c r="G28" s="31"/>
    </row>
    <row r="29" spans="1:7" ht="15.95">
      <c r="A29" s="30"/>
      <c r="B29" s="65"/>
      <c r="C29" s="63"/>
      <c r="D29" s="64"/>
      <c r="E29" s="64"/>
      <c r="F29" s="30"/>
      <c r="G29" s="31"/>
    </row>
    <row r="30" spans="1:7" ht="15.95">
      <c r="A30" s="30"/>
      <c r="B30" s="65"/>
      <c r="C30" s="63"/>
      <c r="D30" s="64"/>
      <c r="E30" s="64"/>
      <c r="F30" s="30"/>
      <c r="G30" s="31"/>
    </row>
    <row r="31" spans="1:7" ht="15.95">
      <c r="A31" s="30"/>
      <c r="B31" s="26"/>
      <c r="C31" s="30"/>
      <c r="D31" s="30"/>
      <c r="E31" s="30"/>
      <c r="F31" s="30"/>
      <c r="G31" s="31"/>
    </row>
    <row r="32" spans="1:7" ht="15.95">
      <c r="A32" s="30"/>
      <c r="B32" s="30"/>
      <c r="C32" s="30"/>
      <c r="D32" s="30"/>
      <c r="E32" s="30"/>
      <c r="F32" s="30"/>
      <c r="G32" s="31"/>
    </row>
    <row r="33" spans="1:7" ht="15.95">
      <c r="A33" s="30"/>
      <c r="B33" s="39" t="s">
        <v>186</v>
      </c>
      <c r="C33" s="38"/>
      <c r="D33" s="38"/>
      <c r="E33" s="38"/>
      <c r="F33" s="30"/>
      <c r="G33" s="31"/>
    </row>
    <row r="34" spans="1:7" ht="15.95">
      <c r="A34" s="30"/>
      <c r="B34" s="30"/>
      <c r="C34" s="30"/>
      <c r="D34" s="30"/>
      <c r="E34" s="30"/>
      <c r="F34" s="30"/>
      <c r="G34" s="31"/>
    </row>
    <row r="35" spans="1:7" ht="15.95">
      <c r="A35" s="30"/>
      <c r="B35" s="30"/>
      <c r="C35" s="30"/>
      <c r="D35" s="30"/>
      <c r="E35" s="30"/>
      <c r="F35" s="30"/>
      <c r="G35" s="31"/>
    </row>
    <row r="36" spans="1:7" ht="15.95">
      <c r="A36" s="30"/>
      <c r="B36" s="30"/>
      <c r="C36" s="30"/>
      <c r="D36" s="30"/>
      <c r="E36" s="30"/>
      <c r="F36" s="30"/>
      <c r="G36" s="31"/>
    </row>
    <row r="37" spans="1:7" ht="15.95">
      <c r="A37" s="30"/>
      <c r="B37" s="30"/>
      <c r="C37" s="30"/>
      <c r="D37" s="30"/>
      <c r="E37" s="30"/>
      <c r="F37" s="30"/>
      <c r="G37" s="31"/>
    </row>
    <row r="38" spans="1:7" ht="15.95">
      <c r="A38" s="30"/>
      <c r="B38" s="30"/>
      <c r="C38" s="30"/>
      <c r="D38" s="30"/>
      <c r="E38" s="30"/>
      <c r="F38" s="30"/>
      <c r="G38" s="31"/>
    </row>
    <row r="39" spans="1:7" ht="15.95">
      <c r="B39" s="30"/>
      <c r="C39" s="30"/>
      <c r="D39" s="30"/>
      <c r="E39" s="30"/>
      <c r="F39" s="30"/>
      <c r="G39" s="31"/>
    </row>
    <row r="40" spans="1:7" ht="15.95">
      <c r="B40" s="30"/>
      <c r="C40" s="30"/>
      <c r="D40" s="30"/>
      <c r="E40" s="30"/>
      <c r="F40" s="30"/>
      <c r="G40" s="31"/>
    </row>
    <row r="41" spans="1:7" ht="15.95">
      <c r="B41" s="30"/>
      <c r="C41" s="30"/>
      <c r="D41" s="30"/>
      <c r="E41" s="30"/>
      <c r="F41" s="30"/>
      <c r="G41" s="31"/>
    </row>
    <row r="42" spans="1:7">
      <c r="B42" s="18"/>
      <c r="C42" s="18"/>
      <c r="D42" s="18"/>
      <c r="E42" s="18"/>
      <c r="F42" s="18"/>
    </row>
    <row r="43" spans="1:7">
      <c r="B43" s="18"/>
      <c r="C43" s="18"/>
      <c r="D43" s="18"/>
      <c r="E43" s="18"/>
      <c r="F43" s="18"/>
    </row>
    <row r="44" spans="1:7">
      <c r="B44" s="18"/>
      <c r="C44" s="18"/>
      <c r="D44" s="18"/>
      <c r="E44" s="18"/>
      <c r="F44" s="18"/>
    </row>
    <row r="45" spans="1:7">
      <c r="B45" s="18"/>
      <c r="C45" s="18"/>
      <c r="D45" s="18"/>
      <c r="E45" s="18"/>
      <c r="F45" s="18"/>
    </row>
    <row r="46" spans="1:7">
      <c r="B46" s="18"/>
      <c r="C46" s="18"/>
      <c r="D46" s="18"/>
      <c r="E46" s="18"/>
      <c r="F46" s="18"/>
    </row>
    <row r="47" spans="1:7">
      <c r="B47" s="18"/>
      <c r="C47" s="18"/>
      <c r="D47" s="18"/>
      <c r="E47" s="18"/>
      <c r="F47" s="18"/>
    </row>
    <row r="48" spans="1:7">
      <c r="B48" s="18"/>
      <c r="C48" s="18"/>
      <c r="D48" s="18"/>
      <c r="E48" s="18"/>
      <c r="F48" s="18"/>
    </row>
    <row r="49" spans="2:6">
      <c r="B49" s="18"/>
      <c r="C49" s="18"/>
      <c r="D49" s="18"/>
      <c r="E49" s="18"/>
      <c r="F49" s="18"/>
    </row>
    <row r="50" spans="2:6">
      <c r="B50" s="18"/>
      <c r="C50" s="18"/>
      <c r="D50" s="18"/>
      <c r="E50" s="18"/>
      <c r="F50" s="18"/>
    </row>
    <row r="51" spans="2:6">
      <c r="B51" s="18"/>
      <c r="C51" s="18"/>
      <c r="D51" s="18"/>
      <c r="E51" s="18"/>
      <c r="F51" s="18"/>
    </row>
  </sheetData>
  <mergeCells count="3">
    <mergeCell ref="C19:C21"/>
    <mergeCell ref="D19:D21"/>
    <mergeCell ref="E19:E21"/>
  </mergeCells>
  <pageMargins left="0.7" right="0.7" top="0.75" bottom="0.75" header="0.3" footer="0.3"/>
  <pageSetup scale="4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18E4-8FFC-6846-83A0-9B8B19F54FD2}">
  <dimension ref="A1:K1766"/>
  <sheetViews>
    <sheetView tabSelected="1" topLeftCell="A1721" zoomScale="130" zoomScaleNormal="130" workbookViewId="0">
      <selection activeCell="J1737" sqref="J1737"/>
    </sheetView>
  </sheetViews>
  <sheetFormatPr defaultColWidth="8.85546875" defaultRowHeight="12.95"/>
  <cols>
    <col min="1" max="1" width="15.42578125" style="18" customWidth="1"/>
    <col min="2" max="2" width="14" style="18" customWidth="1"/>
    <col min="3" max="3" width="32.42578125" style="18" customWidth="1"/>
    <col min="4" max="4" width="15" style="18" customWidth="1"/>
    <col min="5" max="5" width="12.85546875" style="18" customWidth="1"/>
    <col min="6" max="6" width="14" style="18" customWidth="1"/>
    <col min="7" max="7" width="16.140625" style="18" customWidth="1"/>
    <col min="8" max="8" width="15" style="18" customWidth="1"/>
    <col min="9" max="9" width="15.140625" style="18" customWidth="1"/>
    <col min="10" max="10" width="15" style="18" customWidth="1"/>
    <col min="11" max="16384" width="8.85546875" style="18"/>
  </cols>
  <sheetData>
    <row r="1" spans="1:10">
      <c r="A1" s="41" t="s">
        <v>187</v>
      </c>
      <c r="B1" s="41"/>
      <c r="C1" s="41"/>
      <c r="D1" s="41"/>
      <c r="E1" s="41"/>
      <c r="F1" s="41"/>
    </row>
    <row r="2" spans="1:10">
      <c r="F2" s="68" t="s">
        <v>113</v>
      </c>
    </row>
    <row r="4" spans="1:10">
      <c r="A4" s="42" t="s">
        <v>188</v>
      </c>
      <c r="B4" s="42" t="s">
        <v>189</v>
      </c>
      <c r="C4" s="42"/>
      <c r="D4" s="42"/>
      <c r="E4" s="42"/>
      <c r="F4" s="42"/>
      <c r="G4" s="43" t="s">
        <v>113</v>
      </c>
      <c r="H4" s="42" t="s">
        <v>175</v>
      </c>
      <c r="I4" s="90" t="s">
        <v>190</v>
      </c>
      <c r="J4" s="43"/>
    </row>
    <row r="5" spans="1:10">
      <c r="A5" s="42" t="s">
        <v>191</v>
      </c>
      <c r="B5" s="89">
        <v>45938</v>
      </c>
      <c r="C5" s="42"/>
      <c r="D5" s="42"/>
      <c r="E5" s="42"/>
      <c r="F5" s="42"/>
      <c r="G5" s="43"/>
      <c r="H5" s="42" t="s">
        <v>192</v>
      </c>
      <c r="I5" s="91" t="s">
        <v>109</v>
      </c>
      <c r="J5" s="43"/>
    </row>
    <row r="6" spans="1:10">
      <c r="A6" s="42"/>
      <c r="B6" s="42"/>
      <c r="C6" s="42"/>
      <c r="D6" s="42"/>
      <c r="E6" s="42"/>
      <c r="F6" s="42"/>
      <c r="G6" s="43"/>
      <c r="H6" s="43"/>
      <c r="I6" s="43"/>
      <c r="J6" s="43"/>
    </row>
    <row r="7" spans="1:10">
      <c r="A7" s="42"/>
      <c r="B7" s="44" t="s">
        <v>193</v>
      </c>
      <c r="C7" s="44" t="s">
        <v>194</v>
      </c>
      <c r="D7" s="44" t="s">
        <v>195</v>
      </c>
      <c r="E7" s="44" t="s">
        <v>196</v>
      </c>
      <c r="F7" s="44" t="s">
        <v>197</v>
      </c>
      <c r="G7" s="44" t="s">
        <v>198</v>
      </c>
      <c r="H7" s="44" t="s">
        <v>199</v>
      </c>
      <c r="I7" s="44" t="s">
        <v>200</v>
      </c>
      <c r="J7" s="44" t="s">
        <v>199</v>
      </c>
    </row>
    <row r="8" spans="1:10">
      <c r="A8" s="42"/>
      <c r="B8" s="79"/>
      <c r="C8" s="85"/>
      <c r="D8" s="45"/>
      <c r="E8" s="45"/>
      <c r="F8" s="46"/>
      <c r="G8" s="45"/>
      <c r="H8" s="46"/>
      <c r="I8" s="45"/>
      <c r="J8" s="47"/>
    </row>
    <row r="9" spans="1:10">
      <c r="B9" s="80">
        <v>1</v>
      </c>
      <c r="C9" s="86" t="s">
        <v>201</v>
      </c>
      <c r="D9" s="48" t="s">
        <v>202</v>
      </c>
      <c r="E9" s="48"/>
      <c r="F9" s="69">
        <v>45938</v>
      </c>
      <c r="G9" s="48"/>
      <c r="H9" s="49"/>
      <c r="I9" s="48" t="s">
        <v>111</v>
      </c>
      <c r="J9" s="49">
        <v>11500000</v>
      </c>
    </row>
    <row r="10" spans="1:10">
      <c r="A10" s="42"/>
      <c r="B10" s="80"/>
      <c r="C10" s="86"/>
      <c r="D10" s="48"/>
      <c r="E10" s="48"/>
      <c r="F10" s="49"/>
      <c r="G10" s="48"/>
      <c r="H10" s="49"/>
      <c r="I10" s="48"/>
      <c r="J10" s="49"/>
    </row>
    <row r="11" spans="1:10">
      <c r="B11" s="81">
        <v>2</v>
      </c>
      <c r="C11" s="59" t="s">
        <v>128</v>
      </c>
      <c r="D11" s="48" t="s">
        <v>202</v>
      </c>
      <c r="E11" s="48"/>
      <c r="F11" s="69">
        <v>45938</v>
      </c>
      <c r="G11" s="48"/>
      <c r="H11" s="49"/>
      <c r="I11" s="48" t="s">
        <v>111</v>
      </c>
      <c r="J11" s="49">
        <v>245000</v>
      </c>
    </row>
    <row r="12" spans="1:10">
      <c r="B12" s="81"/>
      <c r="C12" s="59"/>
      <c r="D12" s="48"/>
      <c r="E12" s="48"/>
      <c r="F12" s="49"/>
      <c r="G12" s="48"/>
      <c r="H12" s="49"/>
      <c r="I12" s="48"/>
      <c r="J12" s="49"/>
    </row>
    <row r="13" spans="1:10" ht="35.25">
      <c r="A13" s="42"/>
      <c r="B13" s="81">
        <v>8</v>
      </c>
      <c r="C13" s="104" t="s">
        <v>131</v>
      </c>
      <c r="D13" s="48" t="s">
        <v>202</v>
      </c>
      <c r="E13" s="48"/>
      <c r="F13" s="69">
        <v>45938</v>
      </c>
      <c r="G13" s="48"/>
      <c r="H13" s="49"/>
      <c r="I13" s="48" t="s">
        <v>111</v>
      </c>
      <c r="J13" s="49">
        <v>115000</v>
      </c>
    </row>
    <row r="14" spans="1:10">
      <c r="A14" s="42"/>
      <c r="B14" s="81"/>
      <c r="C14" s="59"/>
      <c r="D14" s="48"/>
      <c r="E14" s="48"/>
      <c r="F14" s="49"/>
      <c r="G14" s="48"/>
      <c r="H14" s="49"/>
      <c r="I14" s="48"/>
      <c r="J14" s="49"/>
    </row>
    <row r="15" spans="1:10">
      <c r="A15" s="42"/>
      <c r="B15" s="82"/>
      <c r="C15" s="60"/>
      <c r="D15" s="48"/>
      <c r="E15" s="48"/>
      <c r="F15" s="69"/>
      <c r="G15" s="48"/>
      <c r="H15" s="49"/>
      <c r="I15" s="48"/>
      <c r="J15" s="49"/>
    </row>
    <row r="16" spans="1:10">
      <c r="B16" s="80"/>
      <c r="C16" s="86"/>
      <c r="D16" s="48"/>
      <c r="E16" s="48"/>
      <c r="F16" s="49"/>
      <c r="G16" s="48"/>
      <c r="H16" s="49"/>
      <c r="I16" s="48"/>
      <c r="J16" s="49"/>
    </row>
    <row r="17" spans="1:10">
      <c r="A17" s="42"/>
      <c r="B17" s="80"/>
      <c r="C17" s="86"/>
      <c r="D17" s="48"/>
      <c r="E17" s="48"/>
      <c r="F17" s="49"/>
      <c r="G17" s="48"/>
      <c r="H17" s="49"/>
      <c r="I17" s="48"/>
      <c r="J17" s="49"/>
    </row>
    <row r="18" spans="1:10">
      <c r="A18" s="42"/>
      <c r="B18" s="80"/>
      <c r="C18" s="86"/>
      <c r="D18" s="48"/>
      <c r="E18" s="48"/>
      <c r="F18" s="49"/>
      <c r="G18" s="48"/>
      <c r="H18" s="49"/>
      <c r="I18" s="48"/>
      <c r="J18" s="49"/>
    </row>
    <row r="19" spans="1:10">
      <c r="A19" s="42"/>
      <c r="B19" s="80"/>
      <c r="C19" s="86"/>
      <c r="D19" s="48"/>
      <c r="E19" s="48"/>
      <c r="F19" s="49"/>
      <c r="G19" s="48"/>
      <c r="H19" s="49"/>
      <c r="I19" s="48"/>
      <c r="J19" s="49"/>
    </row>
    <row r="20" spans="1:10">
      <c r="A20" s="42"/>
      <c r="B20" s="80"/>
      <c r="C20" s="86"/>
      <c r="D20" s="48"/>
      <c r="E20" s="48"/>
      <c r="F20" s="49"/>
      <c r="G20" s="48"/>
      <c r="H20" s="49"/>
      <c r="I20" s="48"/>
      <c r="J20" s="49"/>
    </row>
    <row r="21" spans="1:10">
      <c r="A21" s="42"/>
      <c r="B21" s="80"/>
      <c r="C21" s="86"/>
      <c r="D21" s="48"/>
      <c r="E21" s="48"/>
      <c r="F21" s="49"/>
      <c r="G21" s="48"/>
      <c r="H21" s="49"/>
      <c r="I21" s="48"/>
      <c r="J21" s="49"/>
    </row>
    <row r="22" spans="1:10" s="53" customFormat="1" ht="11.1">
      <c r="A22" s="50"/>
      <c r="B22" s="83"/>
      <c r="C22" s="87"/>
      <c r="D22" s="51"/>
      <c r="E22" s="51"/>
      <c r="F22" s="52"/>
      <c r="G22" s="51"/>
      <c r="H22" s="52"/>
      <c r="I22" s="51"/>
      <c r="J22" s="52"/>
    </row>
    <row r="23" spans="1:10">
      <c r="A23" s="42"/>
      <c r="B23" s="80"/>
      <c r="C23" s="86"/>
      <c r="D23" s="48"/>
      <c r="E23" s="48"/>
      <c r="F23" s="49"/>
      <c r="G23" s="48"/>
      <c r="H23" s="49"/>
      <c r="I23" s="48"/>
      <c r="J23" s="49"/>
    </row>
    <row r="24" spans="1:10">
      <c r="A24" s="42"/>
      <c r="B24" s="80"/>
      <c r="C24" s="86"/>
      <c r="D24" s="48"/>
      <c r="E24" s="48"/>
      <c r="F24" s="49"/>
      <c r="G24" s="48"/>
      <c r="H24" s="49"/>
      <c r="I24" s="48"/>
      <c r="J24" s="49"/>
    </row>
    <row r="25" spans="1:10">
      <c r="A25" s="42"/>
      <c r="B25" s="80"/>
      <c r="C25" s="86"/>
      <c r="D25" s="48"/>
      <c r="E25" s="48"/>
      <c r="F25" s="49"/>
      <c r="G25" s="48"/>
      <c r="H25" s="49"/>
      <c r="I25" s="48"/>
      <c r="J25" s="49"/>
    </row>
    <row r="26" spans="1:10">
      <c r="A26" s="42"/>
      <c r="B26" s="80"/>
      <c r="C26" s="86"/>
      <c r="D26" s="48"/>
      <c r="E26" s="48"/>
      <c r="F26" s="49"/>
      <c r="G26" s="48"/>
      <c r="H26" s="49"/>
      <c r="I26" s="48"/>
      <c r="J26" s="49"/>
    </row>
    <row r="27" spans="1:10">
      <c r="A27" s="42"/>
      <c r="B27" s="80"/>
      <c r="C27" s="86"/>
      <c r="D27" s="48"/>
      <c r="E27" s="48"/>
      <c r="F27" s="49"/>
      <c r="G27" s="48"/>
      <c r="H27" s="49"/>
      <c r="I27" s="48"/>
      <c r="J27" s="49"/>
    </row>
    <row r="28" spans="1:10">
      <c r="A28" s="42"/>
      <c r="B28" s="80"/>
      <c r="C28" s="86"/>
      <c r="D28" s="48"/>
      <c r="E28" s="48"/>
      <c r="F28" s="49"/>
      <c r="G28" s="48"/>
      <c r="H28" s="49"/>
      <c r="I28" s="48"/>
      <c r="J28" s="49"/>
    </row>
    <row r="29" spans="1:10">
      <c r="A29" s="42"/>
      <c r="B29" s="80"/>
      <c r="C29" s="86"/>
      <c r="D29" s="48"/>
      <c r="E29" s="48"/>
      <c r="F29" s="49"/>
      <c r="G29" s="48"/>
      <c r="H29" s="49"/>
      <c r="I29" s="48"/>
      <c r="J29" s="49"/>
    </row>
    <row r="30" spans="1:10">
      <c r="A30" s="42"/>
      <c r="B30" s="80"/>
      <c r="C30" s="86"/>
      <c r="D30" s="48"/>
      <c r="E30" s="48"/>
      <c r="F30" s="49"/>
      <c r="G30" s="48"/>
      <c r="H30" s="49"/>
      <c r="I30" s="48"/>
      <c r="J30" s="49"/>
    </row>
    <row r="31" spans="1:10">
      <c r="A31" s="42"/>
      <c r="B31" s="80"/>
      <c r="C31" s="86"/>
      <c r="D31" s="48"/>
      <c r="E31" s="48"/>
      <c r="F31" s="49"/>
      <c r="G31" s="48"/>
      <c r="H31" s="49"/>
      <c r="I31" s="48"/>
      <c r="J31" s="49"/>
    </row>
    <row r="32" spans="1:10">
      <c r="A32" s="42"/>
      <c r="B32" s="80"/>
      <c r="C32" s="86"/>
      <c r="D32" s="48"/>
      <c r="E32" s="48"/>
      <c r="F32" s="49"/>
      <c r="G32" s="48"/>
      <c r="H32" s="49"/>
      <c r="I32" s="48"/>
      <c r="J32" s="49"/>
    </row>
    <row r="33" spans="1:10">
      <c r="A33" s="42"/>
      <c r="B33" s="80"/>
      <c r="C33" s="86"/>
      <c r="D33" s="48"/>
      <c r="E33" s="48"/>
      <c r="F33" s="49"/>
      <c r="G33" s="48"/>
      <c r="H33" s="49"/>
      <c r="I33" s="48"/>
      <c r="J33" s="49"/>
    </row>
    <row r="34" spans="1:10">
      <c r="A34" s="42"/>
      <c r="B34" s="80"/>
      <c r="C34" s="86"/>
      <c r="D34" s="48"/>
      <c r="E34" s="48"/>
      <c r="F34" s="49"/>
      <c r="G34" s="48"/>
      <c r="H34" s="49"/>
      <c r="I34" s="48"/>
      <c r="J34" s="49"/>
    </row>
    <row r="35" spans="1:10">
      <c r="A35" s="42"/>
      <c r="B35" s="80"/>
      <c r="C35" s="86"/>
      <c r="D35" s="48"/>
      <c r="E35" s="48"/>
      <c r="F35" s="49"/>
      <c r="G35" s="48"/>
      <c r="H35" s="49"/>
      <c r="I35" s="48"/>
      <c r="J35" s="49"/>
    </row>
    <row r="36" spans="1:10">
      <c r="A36" s="42"/>
      <c r="B36" s="80"/>
      <c r="C36" s="86"/>
      <c r="D36" s="48"/>
      <c r="E36" s="48"/>
      <c r="F36" s="49"/>
      <c r="G36" s="48"/>
      <c r="H36" s="49"/>
      <c r="I36" s="48"/>
      <c r="J36" s="49"/>
    </row>
    <row r="37" spans="1:10">
      <c r="A37" s="42"/>
      <c r="B37" s="80"/>
      <c r="C37" s="86"/>
      <c r="D37" s="48"/>
      <c r="E37" s="48"/>
      <c r="F37" s="49"/>
      <c r="G37" s="48"/>
      <c r="H37" s="49"/>
      <c r="I37" s="48"/>
      <c r="J37" s="49"/>
    </row>
    <row r="38" spans="1:10">
      <c r="A38" s="42" t="s">
        <v>203</v>
      </c>
      <c r="B38" s="80"/>
      <c r="C38" s="86"/>
      <c r="D38" s="48"/>
      <c r="E38" s="48"/>
      <c r="F38" s="49"/>
      <c r="G38" s="48"/>
      <c r="H38" s="49"/>
      <c r="I38" s="48"/>
      <c r="J38" s="49">
        <f>SUM(J9:J36)</f>
        <v>11860000</v>
      </c>
    </row>
    <row r="39" spans="1:10">
      <c r="A39" s="43"/>
      <c r="B39" s="80"/>
      <c r="C39" s="86"/>
      <c r="D39" s="48"/>
      <c r="E39" s="48"/>
      <c r="F39" s="49"/>
      <c r="G39" s="48"/>
      <c r="H39" s="49"/>
      <c r="I39" s="48"/>
      <c r="J39" s="49"/>
    </row>
    <row r="40" spans="1:10">
      <c r="A40" s="43"/>
      <c r="B40" s="84"/>
      <c r="C40" s="88"/>
      <c r="D40" s="54"/>
      <c r="E40" s="54"/>
      <c r="F40" s="55"/>
      <c r="G40" s="54"/>
      <c r="H40" s="55"/>
      <c r="I40" s="54"/>
      <c r="J40" s="55"/>
    </row>
    <row r="43" spans="1:10">
      <c r="A43" s="41" t="s">
        <v>204</v>
      </c>
      <c r="B43" s="41"/>
      <c r="C43" s="41"/>
      <c r="D43" s="41"/>
      <c r="E43" s="41"/>
      <c r="F43" s="41"/>
    </row>
    <row r="46" spans="1:10">
      <c r="A46" s="42" t="s">
        <v>188</v>
      </c>
      <c r="B46" s="42" t="s">
        <v>189</v>
      </c>
      <c r="C46" s="42"/>
      <c r="D46" s="42"/>
      <c r="E46" s="42"/>
      <c r="F46" s="42"/>
      <c r="G46" s="43" t="s">
        <v>113</v>
      </c>
      <c r="H46" s="42" t="s">
        <v>205</v>
      </c>
      <c r="I46" s="42" t="s">
        <v>206</v>
      </c>
      <c r="J46" s="43"/>
    </row>
    <row r="47" spans="1:10">
      <c r="A47" s="42" t="s">
        <v>191</v>
      </c>
      <c r="B47" s="89">
        <v>45938</v>
      </c>
      <c r="C47" s="42"/>
      <c r="D47" s="42"/>
      <c r="E47" s="42"/>
      <c r="F47" s="42"/>
      <c r="G47" s="43"/>
      <c r="H47" s="42" t="s">
        <v>192</v>
      </c>
      <c r="I47" s="42" t="s">
        <v>143</v>
      </c>
      <c r="J47" s="43"/>
    </row>
    <row r="48" spans="1:10">
      <c r="A48" s="42"/>
      <c r="B48" s="42"/>
      <c r="C48" s="42"/>
      <c r="D48" s="42"/>
      <c r="E48" s="42"/>
      <c r="F48" s="42"/>
      <c r="G48" s="43"/>
      <c r="H48" s="43"/>
      <c r="I48" s="43"/>
      <c r="J48" s="43"/>
    </row>
    <row r="49" spans="1:10">
      <c r="A49" s="42"/>
      <c r="B49" s="44" t="s">
        <v>193</v>
      </c>
      <c r="C49" s="44" t="s">
        <v>194</v>
      </c>
      <c r="D49" s="44" t="s">
        <v>195</v>
      </c>
      <c r="E49" s="44" t="s">
        <v>196</v>
      </c>
      <c r="F49" s="44" t="s">
        <v>197</v>
      </c>
      <c r="G49" s="44" t="s">
        <v>198</v>
      </c>
      <c r="H49" s="44" t="s">
        <v>199</v>
      </c>
      <c r="I49" s="44" t="s">
        <v>200</v>
      </c>
      <c r="J49" s="44" t="s">
        <v>199</v>
      </c>
    </row>
    <row r="50" spans="1:10">
      <c r="A50" s="42"/>
      <c r="B50" s="79"/>
      <c r="C50" s="85"/>
      <c r="D50" s="45"/>
      <c r="E50" s="45"/>
      <c r="F50" s="46"/>
      <c r="G50" s="45"/>
      <c r="H50" s="46"/>
      <c r="I50" s="45"/>
      <c r="J50" s="47"/>
    </row>
    <row r="51" spans="1:10">
      <c r="B51" s="82">
        <v>2</v>
      </c>
      <c r="C51" s="60" t="s">
        <v>128</v>
      </c>
      <c r="D51" s="48" t="s">
        <v>202</v>
      </c>
      <c r="E51" s="48"/>
      <c r="F51" s="69">
        <v>45938</v>
      </c>
      <c r="G51" s="48"/>
      <c r="H51" s="49"/>
      <c r="I51" s="48" t="s">
        <v>111</v>
      </c>
      <c r="J51" s="49">
        <v>3648333</v>
      </c>
    </row>
    <row r="52" spans="1:10">
      <c r="B52" s="82"/>
      <c r="C52" s="60"/>
      <c r="D52" s="48"/>
      <c r="E52" s="48"/>
      <c r="F52" s="49"/>
      <c r="G52" s="48"/>
      <c r="H52" s="49"/>
      <c r="I52" s="48"/>
      <c r="J52" s="49"/>
    </row>
    <row r="53" spans="1:10">
      <c r="A53" s="42"/>
      <c r="B53" s="82">
        <v>3</v>
      </c>
      <c r="C53" s="60" t="s">
        <v>146</v>
      </c>
      <c r="D53" s="48" t="s">
        <v>202</v>
      </c>
      <c r="E53" s="48"/>
      <c r="F53" s="69">
        <v>45938</v>
      </c>
      <c r="G53" s="48"/>
      <c r="H53" s="49"/>
      <c r="I53" s="48" t="s">
        <v>111</v>
      </c>
      <c r="J53" s="49">
        <v>50000</v>
      </c>
    </row>
    <row r="54" spans="1:10">
      <c r="A54" s="42"/>
      <c r="B54" s="82"/>
      <c r="C54" s="60"/>
      <c r="D54" s="48"/>
      <c r="E54" s="48"/>
      <c r="F54" s="49"/>
      <c r="G54" s="48"/>
      <c r="H54" s="49"/>
      <c r="I54" s="48"/>
      <c r="J54" s="49" t="s">
        <v>113</v>
      </c>
    </row>
    <row r="55" spans="1:10">
      <c r="B55" s="82">
        <v>4</v>
      </c>
      <c r="C55" s="60" t="s">
        <v>148</v>
      </c>
      <c r="D55" s="48" t="s">
        <v>202</v>
      </c>
      <c r="E55" s="48"/>
      <c r="F55" s="69">
        <v>45938</v>
      </c>
      <c r="G55" s="48"/>
      <c r="H55" s="49"/>
      <c r="I55" s="48" t="s">
        <v>111</v>
      </c>
      <c r="J55" s="49">
        <v>40000</v>
      </c>
    </row>
    <row r="56" spans="1:10">
      <c r="B56" s="82"/>
      <c r="C56" s="60"/>
      <c r="D56" s="48"/>
      <c r="E56" s="48"/>
      <c r="F56" s="49"/>
      <c r="G56" s="48"/>
      <c r="H56" s="49"/>
      <c r="I56" s="48"/>
      <c r="J56" s="49"/>
    </row>
    <row r="57" spans="1:10">
      <c r="A57" s="42"/>
      <c r="B57" s="82">
        <v>5</v>
      </c>
      <c r="C57" s="60" t="s">
        <v>149</v>
      </c>
      <c r="D57" s="48" t="s">
        <v>202</v>
      </c>
      <c r="E57" s="48"/>
      <c r="F57" s="69">
        <v>45938</v>
      </c>
      <c r="G57" s="48"/>
      <c r="H57" s="49"/>
      <c r="I57" s="48" t="s">
        <v>111</v>
      </c>
      <c r="J57" s="49">
        <v>35000</v>
      </c>
    </row>
    <row r="58" spans="1:10">
      <c r="A58" s="42"/>
      <c r="B58" s="80"/>
      <c r="C58" s="86"/>
      <c r="D58" s="48"/>
      <c r="E58" s="48"/>
      <c r="F58" s="49"/>
      <c r="G58" s="48"/>
      <c r="H58" s="49"/>
      <c r="I58" s="48"/>
      <c r="J58" s="49"/>
    </row>
    <row r="59" spans="1:10" ht="12.75">
      <c r="B59" s="80">
        <v>6</v>
      </c>
      <c r="C59" s="60" t="s">
        <v>150</v>
      </c>
      <c r="D59" s="48" t="s">
        <v>202</v>
      </c>
      <c r="E59" s="48"/>
      <c r="F59" s="69">
        <v>45938</v>
      </c>
      <c r="G59" s="48"/>
      <c r="H59" s="49"/>
      <c r="I59" s="48" t="s">
        <v>111</v>
      </c>
      <c r="J59" s="49">
        <v>30000</v>
      </c>
    </row>
    <row r="60" spans="1:10">
      <c r="A60" s="42"/>
      <c r="B60" s="80"/>
      <c r="C60" s="86"/>
      <c r="D60" s="48"/>
      <c r="E60" s="48"/>
      <c r="F60" s="49"/>
      <c r="G60" s="48"/>
      <c r="H60" s="49"/>
      <c r="I60" s="48"/>
      <c r="J60" s="49"/>
    </row>
    <row r="61" spans="1:10" ht="12.75">
      <c r="A61" s="42"/>
      <c r="B61" s="80">
        <v>7</v>
      </c>
      <c r="C61" s="60" t="s">
        <v>151</v>
      </c>
      <c r="D61" s="48" t="s">
        <v>202</v>
      </c>
      <c r="E61" s="48"/>
      <c r="F61" s="69">
        <v>45938</v>
      </c>
      <c r="G61" s="48"/>
      <c r="H61" s="49"/>
      <c r="I61" s="48" t="s">
        <v>111</v>
      </c>
      <c r="J61" s="49">
        <v>30000</v>
      </c>
    </row>
    <row r="62" spans="1:10">
      <c r="A62" s="42"/>
      <c r="B62" s="80"/>
      <c r="C62" s="86"/>
      <c r="D62" s="48"/>
      <c r="E62" s="48"/>
      <c r="F62" s="49"/>
      <c r="G62" s="48"/>
      <c r="H62" s="49"/>
      <c r="I62" s="48"/>
      <c r="J62" s="49"/>
    </row>
    <row r="63" spans="1:10">
      <c r="A63" s="42"/>
      <c r="B63" s="80"/>
      <c r="C63" s="86"/>
      <c r="D63" s="48"/>
      <c r="E63" s="48"/>
      <c r="F63" s="49"/>
      <c r="G63" s="48"/>
      <c r="H63" s="49"/>
      <c r="I63" s="48"/>
      <c r="J63" s="49"/>
    </row>
    <row r="64" spans="1:10">
      <c r="A64" s="42"/>
      <c r="B64" s="80"/>
      <c r="C64" s="86"/>
      <c r="D64" s="48"/>
      <c r="E64" s="48"/>
      <c r="F64" s="49"/>
      <c r="G64" s="48"/>
      <c r="H64" s="49"/>
      <c r="I64" s="48"/>
      <c r="J64" s="49"/>
    </row>
    <row r="65" spans="1:10">
      <c r="A65" s="42"/>
      <c r="B65" s="80"/>
      <c r="C65" s="86"/>
      <c r="D65" s="48"/>
      <c r="E65" s="48"/>
      <c r="F65" s="49"/>
      <c r="G65" s="48"/>
      <c r="H65" s="49"/>
      <c r="I65" s="48"/>
      <c r="J65" s="49"/>
    </row>
    <row r="66" spans="1:10">
      <c r="A66" s="42"/>
      <c r="B66" s="80"/>
      <c r="C66" s="86"/>
      <c r="D66" s="48"/>
      <c r="E66" s="48"/>
      <c r="F66" s="49"/>
      <c r="G66" s="48"/>
      <c r="H66" s="49"/>
      <c r="I66" s="48"/>
      <c r="J66" s="49"/>
    </row>
    <row r="67" spans="1:10">
      <c r="A67" s="42"/>
      <c r="B67" s="80"/>
      <c r="C67" s="86"/>
      <c r="D67" s="48"/>
      <c r="E67" s="48"/>
      <c r="F67" s="49"/>
      <c r="G67" s="48"/>
      <c r="H67" s="49"/>
      <c r="I67" s="48"/>
      <c r="J67" s="49"/>
    </row>
    <row r="68" spans="1:10">
      <c r="A68" s="42"/>
      <c r="B68" s="80"/>
      <c r="C68" s="86"/>
      <c r="D68" s="48"/>
      <c r="E68" s="48"/>
      <c r="F68" s="49"/>
      <c r="G68" s="48"/>
      <c r="H68" s="49"/>
      <c r="I68" s="48"/>
      <c r="J68" s="49"/>
    </row>
    <row r="69" spans="1:10">
      <c r="A69" s="42"/>
      <c r="B69" s="80"/>
      <c r="C69" s="86"/>
      <c r="D69" s="48"/>
      <c r="E69" s="48"/>
      <c r="F69" s="49"/>
      <c r="G69" s="48"/>
      <c r="H69" s="49"/>
      <c r="I69" s="48"/>
      <c r="J69" s="49"/>
    </row>
    <row r="70" spans="1:10">
      <c r="A70" s="42"/>
      <c r="B70" s="80"/>
      <c r="C70" s="86"/>
      <c r="D70" s="48"/>
      <c r="E70" s="48"/>
      <c r="F70" s="49"/>
      <c r="G70" s="48"/>
      <c r="H70" s="49"/>
      <c r="I70" s="48"/>
      <c r="J70" s="49"/>
    </row>
    <row r="71" spans="1:10">
      <c r="A71" s="42"/>
      <c r="B71" s="80"/>
      <c r="C71" s="86"/>
      <c r="D71" s="48"/>
      <c r="E71" s="48"/>
      <c r="F71" s="49"/>
      <c r="G71" s="48"/>
      <c r="H71" s="49"/>
      <c r="I71" s="48"/>
      <c r="J71" s="49"/>
    </row>
    <row r="72" spans="1:10">
      <c r="A72" s="42"/>
      <c r="B72" s="80"/>
      <c r="C72" s="86"/>
      <c r="D72" s="48"/>
      <c r="E72" s="48"/>
      <c r="F72" s="49"/>
      <c r="G72" s="48"/>
      <c r="H72" s="49"/>
      <c r="I72" s="48"/>
      <c r="J72" s="49"/>
    </row>
    <row r="73" spans="1:10">
      <c r="A73" s="42"/>
      <c r="B73" s="80"/>
      <c r="C73" s="86"/>
      <c r="D73" s="48"/>
      <c r="E73" s="48"/>
      <c r="F73" s="49"/>
      <c r="G73" s="48"/>
      <c r="H73" s="49"/>
      <c r="I73" s="48"/>
      <c r="J73" s="49"/>
    </row>
    <row r="74" spans="1:10">
      <c r="A74" s="42"/>
      <c r="B74" s="80"/>
      <c r="C74" s="86"/>
      <c r="D74" s="48"/>
      <c r="E74" s="48"/>
      <c r="F74" s="49"/>
      <c r="G74" s="48"/>
      <c r="H74" s="49"/>
      <c r="I74" s="48"/>
      <c r="J74" s="49"/>
    </row>
    <row r="75" spans="1:10">
      <c r="A75" s="42"/>
      <c r="B75" s="80"/>
      <c r="C75" s="86"/>
      <c r="D75" s="48"/>
      <c r="E75" s="48"/>
      <c r="F75" s="49"/>
      <c r="G75" s="48"/>
      <c r="H75" s="49"/>
      <c r="I75" s="48"/>
      <c r="J75" s="49"/>
    </row>
    <row r="76" spans="1:10">
      <c r="A76" s="42"/>
      <c r="B76" s="80"/>
      <c r="C76" s="86"/>
      <c r="D76" s="48"/>
      <c r="E76" s="48"/>
      <c r="F76" s="49"/>
      <c r="G76" s="48"/>
      <c r="H76" s="49"/>
      <c r="I76" s="48"/>
      <c r="J76" s="49"/>
    </row>
    <row r="77" spans="1:10">
      <c r="A77" s="42" t="s">
        <v>207</v>
      </c>
      <c r="B77" s="80"/>
      <c r="C77" s="86"/>
      <c r="D77" s="48"/>
      <c r="E77" s="48"/>
      <c r="F77" s="49"/>
      <c r="G77" s="48"/>
      <c r="H77" s="49"/>
      <c r="I77" s="48"/>
      <c r="J77" s="49">
        <f>SUM(J51:J76)</f>
        <v>3833333</v>
      </c>
    </row>
    <row r="78" spans="1:10">
      <c r="A78" s="43"/>
      <c r="B78" s="80"/>
      <c r="C78" s="86"/>
      <c r="D78" s="48"/>
      <c r="E78" s="48"/>
      <c r="F78" s="49"/>
      <c r="G78" s="48"/>
      <c r="H78" s="49"/>
      <c r="I78" s="48"/>
      <c r="J78" s="49"/>
    </row>
    <row r="79" spans="1:10">
      <c r="A79" s="43"/>
      <c r="B79" s="84"/>
      <c r="C79" s="88"/>
      <c r="D79" s="54"/>
      <c r="E79" s="54"/>
      <c r="F79" s="55"/>
      <c r="G79" s="54"/>
      <c r="H79" s="55"/>
      <c r="I79" s="54"/>
      <c r="J79" s="55"/>
    </row>
    <row r="82" spans="1:10" ht="12.75"/>
    <row r="83" spans="1:10" ht="12.75">
      <c r="A83" s="41" t="s">
        <v>187</v>
      </c>
      <c r="B83" s="41"/>
      <c r="C83" s="41"/>
      <c r="D83" s="41"/>
      <c r="E83" s="41"/>
      <c r="F83" s="41"/>
    </row>
    <row r="84" spans="1:10" ht="12.75">
      <c r="F84" s="68" t="s">
        <v>113</v>
      </c>
    </row>
    <row r="85" spans="1:10" ht="12.75"/>
    <row r="86" spans="1:10" ht="12.75">
      <c r="A86" s="42" t="s">
        <v>188</v>
      </c>
      <c r="B86" s="42" t="s">
        <v>189</v>
      </c>
      <c r="C86" s="42"/>
      <c r="D86" s="42"/>
      <c r="E86" s="42"/>
      <c r="F86" s="42"/>
      <c r="G86" s="43" t="s">
        <v>113</v>
      </c>
      <c r="H86" s="42" t="s">
        <v>175</v>
      </c>
      <c r="I86" s="90" t="s">
        <v>190</v>
      </c>
      <c r="J86" s="43"/>
    </row>
    <row r="87" spans="1:10" ht="12.75">
      <c r="A87" s="42" t="s">
        <v>191</v>
      </c>
      <c r="B87" s="89">
        <v>45967</v>
      </c>
      <c r="C87" s="42"/>
      <c r="D87" s="42"/>
      <c r="E87" s="42"/>
      <c r="F87" s="42"/>
      <c r="G87" s="43"/>
      <c r="H87" s="42" t="s">
        <v>192</v>
      </c>
      <c r="I87" s="91" t="s">
        <v>109</v>
      </c>
      <c r="J87" s="43"/>
    </row>
    <row r="88" spans="1:10" ht="12.75">
      <c r="A88" s="42"/>
      <c r="B88" s="42"/>
      <c r="C88" s="42"/>
      <c r="D88" s="42"/>
      <c r="E88" s="42"/>
      <c r="F88" s="42"/>
      <c r="G88" s="43"/>
      <c r="H88" s="43"/>
      <c r="I88" s="43"/>
      <c r="J88" s="43"/>
    </row>
    <row r="89" spans="1:10" ht="12.75">
      <c r="A89" s="42"/>
      <c r="B89" s="44" t="s">
        <v>193</v>
      </c>
      <c r="C89" s="44" t="s">
        <v>194</v>
      </c>
      <c r="D89" s="44" t="s">
        <v>195</v>
      </c>
      <c r="E89" s="44" t="s">
        <v>196</v>
      </c>
      <c r="F89" s="44" t="s">
        <v>197</v>
      </c>
      <c r="G89" s="44" t="s">
        <v>198</v>
      </c>
      <c r="H89" s="44" t="s">
        <v>199</v>
      </c>
      <c r="I89" s="44" t="s">
        <v>200</v>
      </c>
      <c r="J89" s="44" t="s">
        <v>199</v>
      </c>
    </row>
    <row r="90" spans="1:10" ht="12.75">
      <c r="A90" s="42"/>
      <c r="B90" s="79"/>
      <c r="C90" s="85"/>
      <c r="D90" s="45"/>
      <c r="E90" s="45"/>
      <c r="F90" s="46"/>
      <c r="G90" s="45"/>
      <c r="H90" s="46"/>
      <c r="I90" s="45"/>
      <c r="J90" s="47"/>
    </row>
    <row r="91" spans="1:10" ht="12.75">
      <c r="B91" s="80">
        <v>1</v>
      </c>
      <c r="C91" s="86" t="s">
        <v>201</v>
      </c>
      <c r="D91" s="48" t="s">
        <v>202</v>
      </c>
      <c r="E91" s="48"/>
      <c r="F91" s="69">
        <v>45967</v>
      </c>
      <c r="G91" s="48" t="s">
        <v>125</v>
      </c>
      <c r="H91" s="49">
        <v>1475353</v>
      </c>
      <c r="I91" s="48" t="s">
        <v>113</v>
      </c>
      <c r="J91" s="49" t="s">
        <v>113</v>
      </c>
    </row>
    <row r="92" spans="1:10" ht="12.75">
      <c r="A92" s="42"/>
      <c r="B92" s="80"/>
      <c r="C92" s="86"/>
      <c r="D92" s="48"/>
      <c r="E92" s="48"/>
      <c r="F92" s="49"/>
      <c r="G92" s="48"/>
      <c r="H92" s="49"/>
      <c r="I92" s="48"/>
      <c r="J92" s="49"/>
    </row>
    <row r="93" spans="1:10" ht="12.75">
      <c r="B93" s="81"/>
      <c r="C93" s="59"/>
      <c r="D93" s="48"/>
      <c r="E93" s="48"/>
      <c r="F93" s="69"/>
      <c r="G93" s="48"/>
      <c r="H93" s="49"/>
      <c r="I93" s="48"/>
      <c r="J93" s="49"/>
    </row>
    <row r="94" spans="1:10" ht="12.75">
      <c r="B94" s="81"/>
      <c r="C94" s="59"/>
      <c r="D94" s="48"/>
      <c r="E94" s="48"/>
      <c r="F94" s="49"/>
      <c r="G94" s="48"/>
      <c r="H94" s="49"/>
      <c r="I94" s="48"/>
      <c r="J94" s="49"/>
    </row>
    <row r="95" spans="1:10" ht="12.75">
      <c r="A95" s="42"/>
      <c r="B95" s="81"/>
      <c r="C95" s="104"/>
      <c r="D95" s="48"/>
      <c r="E95" s="48"/>
      <c r="F95" s="69"/>
      <c r="G95" s="48"/>
      <c r="H95" s="49"/>
      <c r="I95" s="48"/>
      <c r="J95" s="49"/>
    </row>
    <row r="96" spans="1:10" ht="12.75">
      <c r="A96" s="42"/>
      <c r="B96" s="81"/>
      <c r="C96" s="59"/>
      <c r="D96" s="48"/>
      <c r="E96" s="48"/>
      <c r="F96" s="49"/>
      <c r="G96" s="48"/>
      <c r="H96" s="49"/>
      <c r="I96" s="48"/>
      <c r="J96" s="49"/>
    </row>
    <row r="97" spans="1:11" ht="12.75">
      <c r="A97" s="42"/>
      <c r="B97" s="82"/>
      <c r="C97" s="60"/>
      <c r="D97" s="48"/>
      <c r="E97" s="48"/>
      <c r="F97" s="69"/>
      <c r="G97" s="48"/>
      <c r="H97" s="49"/>
      <c r="I97" s="48"/>
      <c r="J97" s="49"/>
    </row>
    <row r="98" spans="1:11" ht="12.75">
      <c r="B98" s="80"/>
      <c r="C98" s="86"/>
      <c r="D98" s="48"/>
      <c r="E98" s="48"/>
      <c r="F98" s="49"/>
      <c r="G98" s="48"/>
      <c r="H98" s="49"/>
      <c r="I98" s="48"/>
      <c r="J98" s="49"/>
    </row>
    <row r="99" spans="1:11" ht="12.75">
      <c r="A99" s="42"/>
      <c r="B99" s="80"/>
      <c r="C99" s="86"/>
      <c r="D99" s="48"/>
      <c r="E99" s="48"/>
      <c r="F99" s="49"/>
      <c r="G99" s="48"/>
      <c r="H99" s="49"/>
      <c r="I99" s="48"/>
      <c r="J99" s="49"/>
    </row>
    <row r="100" spans="1:11" ht="12.75">
      <c r="A100" s="42"/>
      <c r="B100" s="80"/>
      <c r="C100" s="86"/>
      <c r="D100" s="48"/>
      <c r="E100" s="48"/>
      <c r="F100" s="49"/>
      <c r="G100" s="48"/>
      <c r="H100" s="49"/>
      <c r="I100" s="48"/>
      <c r="J100" s="49"/>
    </row>
    <row r="101" spans="1:11" ht="12.75">
      <c r="A101" s="42"/>
      <c r="B101" s="80"/>
      <c r="C101" s="86"/>
      <c r="D101" s="48"/>
      <c r="E101" s="48"/>
      <c r="F101" s="49"/>
      <c r="G101" s="48"/>
      <c r="H101" s="49"/>
      <c r="I101" s="48"/>
      <c r="J101" s="49"/>
    </row>
    <row r="102" spans="1:11" ht="12.75">
      <c r="A102" s="42"/>
      <c r="B102" s="80"/>
      <c r="C102" s="86"/>
      <c r="D102" s="48"/>
      <c r="E102" s="48"/>
      <c r="F102" s="49"/>
      <c r="G102" s="48"/>
      <c r="H102" s="49"/>
      <c r="I102" s="48"/>
      <c r="J102" s="49"/>
    </row>
    <row r="103" spans="1:11" ht="12.75">
      <c r="A103" s="42"/>
      <c r="B103" s="80"/>
      <c r="C103" s="86"/>
      <c r="D103" s="48"/>
      <c r="E103" s="48"/>
      <c r="F103" s="49"/>
      <c r="G103" s="48"/>
      <c r="H103" s="49"/>
      <c r="I103" s="48"/>
      <c r="J103" s="49"/>
    </row>
    <row r="104" spans="1:11" ht="12.75">
      <c r="A104" s="50"/>
      <c r="B104" s="83"/>
      <c r="C104" s="87"/>
      <c r="D104" s="51"/>
      <c r="E104" s="51"/>
      <c r="F104" s="52"/>
      <c r="G104" s="51"/>
      <c r="H104" s="52"/>
      <c r="I104" s="51"/>
      <c r="J104" s="52"/>
      <c r="K104" s="53"/>
    </row>
    <row r="105" spans="1:11" ht="12.75">
      <c r="A105" s="42"/>
      <c r="B105" s="80"/>
      <c r="C105" s="86"/>
      <c r="D105" s="48"/>
      <c r="E105" s="48"/>
      <c r="F105" s="49"/>
      <c r="G105" s="48"/>
      <c r="H105" s="49"/>
      <c r="I105" s="48"/>
      <c r="J105" s="49"/>
    </row>
    <row r="106" spans="1:11" ht="12.75">
      <c r="A106" s="42"/>
      <c r="B106" s="80"/>
      <c r="C106" s="86"/>
      <c r="D106" s="48"/>
      <c r="E106" s="48"/>
      <c r="F106" s="49"/>
      <c r="G106" s="48"/>
      <c r="H106" s="49"/>
      <c r="I106" s="48"/>
      <c r="J106" s="49"/>
    </row>
    <row r="107" spans="1:11" ht="12.75">
      <c r="A107" s="42"/>
      <c r="B107" s="80"/>
      <c r="C107" s="86"/>
      <c r="D107" s="48"/>
      <c r="E107" s="48"/>
      <c r="F107" s="49"/>
      <c r="G107" s="48"/>
      <c r="H107" s="49"/>
      <c r="I107" s="48"/>
      <c r="J107" s="49"/>
    </row>
    <row r="108" spans="1:11" ht="12.75">
      <c r="A108" s="42"/>
      <c r="B108" s="80"/>
      <c r="C108" s="86"/>
      <c r="D108" s="48"/>
      <c r="E108" s="48"/>
      <c r="F108" s="49"/>
      <c r="G108" s="48"/>
      <c r="H108" s="49"/>
      <c r="I108" s="48"/>
      <c r="J108" s="49"/>
    </row>
    <row r="109" spans="1:11" ht="12.75">
      <c r="A109" s="42"/>
      <c r="B109" s="80"/>
      <c r="C109" s="86"/>
      <c r="D109" s="48"/>
      <c r="E109" s="48"/>
      <c r="F109" s="49"/>
      <c r="G109" s="48"/>
      <c r="H109" s="49"/>
      <c r="I109" s="48"/>
      <c r="J109" s="49"/>
    </row>
    <row r="110" spans="1:11" ht="12.75">
      <c r="A110" s="42"/>
      <c r="B110" s="80"/>
      <c r="C110" s="86"/>
      <c r="D110" s="48"/>
      <c r="E110" s="48"/>
      <c r="F110" s="49"/>
      <c r="G110" s="48"/>
      <c r="H110" s="49"/>
      <c r="I110" s="48"/>
      <c r="J110" s="49"/>
    </row>
    <row r="111" spans="1:11" ht="12.75">
      <c r="A111" s="42"/>
      <c r="B111" s="80"/>
      <c r="C111" s="86"/>
      <c r="D111" s="48"/>
      <c r="E111" s="48"/>
      <c r="F111" s="49"/>
      <c r="G111" s="48"/>
      <c r="H111" s="49"/>
      <c r="I111" s="48"/>
      <c r="J111" s="49"/>
    </row>
    <row r="112" spans="1:11" ht="12.75">
      <c r="A112" s="42"/>
      <c r="B112" s="80"/>
      <c r="C112" s="86"/>
      <c r="D112" s="48"/>
      <c r="E112" s="48"/>
      <c r="F112" s="49"/>
      <c r="G112" s="48"/>
      <c r="H112" s="49"/>
      <c r="I112" s="48"/>
      <c r="J112" s="49"/>
    </row>
    <row r="113" spans="1:10" ht="12.75">
      <c r="A113" s="42"/>
      <c r="B113" s="80"/>
      <c r="C113" s="86"/>
      <c r="D113" s="48"/>
      <c r="E113" s="48"/>
      <c r="F113" s="49"/>
      <c r="G113" s="48"/>
      <c r="H113" s="49"/>
      <c r="I113" s="48"/>
      <c r="J113" s="49"/>
    </row>
    <row r="114" spans="1:10" ht="12.75">
      <c r="A114" s="42"/>
      <c r="B114" s="80"/>
      <c r="C114" s="86"/>
      <c r="D114" s="48"/>
      <c r="E114" s="48"/>
      <c r="F114" s="49"/>
      <c r="G114" s="48"/>
      <c r="H114" s="49"/>
      <c r="I114" s="48"/>
      <c r="J114" s="49"/>
    </row>
    <row r="115" spans="1:10" ht="12.75">
      <c r="A115" s="42"/>
      <c r="B115" s="80"/>
      <c r="C115" s="86"/>
      <c r="D115" s="48"/>
      <c r="E115" s="48"/>
      <c r="F115" s="49"/>
      <c r="G115" s="48"/>
      <c r="H115" s="49"/>
      <c r="I115" s="48"/>
      <c r="J115" s="49"/>
    </row>
    <row r="116" spans="1:10" ht="12.75">
      <c r="A116" s="42"/>
      <c r="B116" s="80"/>
      <c r="C116" s="86"/>
      <c r="D116" s="48"/>
      <c r="E116" s="48"/>
      <c r="F116" s="49"/>
      <c r="G116" s="48"/>
      <c r="H116" s="49"/>
      <c r="I116" s="48"/>
      <c r="J116" s="49"/>
    </row>
    <row r="117" spans="1:10" ht="12.75">
      <c r="A117" s="42"/>
      <c r="B117" s="80"/>
      <c r="C117" s="86"/>
      <c r="D117" s="48"/>
      <c r="E117" s="48"/>
      <c r="F117" s="49"/>
      <c r="G117" s="48"/>
      <c r="H117" s="49"/>
      <c r="I117" s="48"/>
      <c r="J117" s="49"/>
    </row>
    <row r="118" spans="1:10" ht="12.75">
      <c r="A118" s="42"/>
      <c r="B118" s="80"/>
      <c r="C118" s="86"/>
      <c r="D118" s="48"/>
      <c r="E118" s="48"/>
      <c r="F118" s="49"/>
      <c r="G118" s="48"/>
      <c r="H118" s="49"/>
      <c r="I118" s="48"/>
      <c r="J118" s="49"/>
    </row>
    <row r="119" spans="1:10" ht="12.75">
      <c r="A119" s="42"/>
      <c r="B119" s="80"/>
      <c r="C119" s="86"/>
      <c r="D119" s="48"/>
      <c r="E119" s="48"/>
      <c r="F119" s="49"/>
      <c r="G119" s="48"/>
      <c r="H119" s="49"/>
      <c r="I119" s="48"/>
      <c r="J119" s="49"/>
    </row>
    <row r="120" spans="1:10" ht="12.75">
      <c r="A120" s="42" t="s">
        <v>203</v>
      </c>
      <c r="B120" s="80"/>
      <c r="C120" s="86"/>
      <c r="D120" s="48"/>
      <c r="E120" s="48"/>
      <c r="F120" s="49"/>
      <c r="G120" s="48"/>
      <c r="H120" s="49">
        <f>SUM(H91:H119)</f>
        <v>1475353</v>
      </c>
      <c r="I120" s="48"/>
      <c r="J120" s="49">
        <f>SUM(J91:J118)</f>
        <v>0</v>
      </c>
    </row>
    <row r="121" spans="1:10" ht="12.75">
      <c r="A121" s="43"/>
      <c r="B121" s="80"/>
      <c r="C121" s="86"/>
      <c r="D121" s="48"/>
      <c r="E121" s="48"/>
      <c r="F121" s="49"/>
      <c r="G121" s="48"/>
      <c r="H121" s="49"/>
      <c r="I121" s="48"/>
      <c r="J121" s="49"/>
    </row>
    <row r="122" spans="1:10" ht="12.75">
      <c r="A122" s="43"/>
      <c r="B122" s="84"/>
      <c r="C122" s="88"/>
      <c r="D122" s="54"/>
      <c r="E122" s="54"/>
      <c r="F122" s="55"/>
      <c r="G122" s="54"/>
      <c r="H122" s="55"/>
      <c r="I122" s="54"/>
      <c r="J122" s="55"/>
    </row>
    <row r="123" spans="1:10" ht="12.75"/>
    <row r="124" spans="1:10" ht="12.75"/>
    <row r="125" spans="1:10" ht="12.75">
      <c r="A125" s="41" t="s">
        <v>204</v>
      </c>
      <c r="B125" s="41"/>
      <c r="C125" s="41"/>
      <c r="D125" s="41"/>
      <c r="E125" s="41"/>
      <c r="F125" s="41"/>
    </row>
    <row r="126" spans="1:10" ht="12.75"/>
    <row r="127" spans="1:10" ht="12.75"/>
    <row r="128" spans="1:10" ht="12.75">
      <c r="A128" s="42" t="s">
        <v>188</v>
      </c>
      <c r="B128" s="42" t="s">
        <v>189</v>
      </c>
      <c r="C128" s="42"/>
      <c r="D128" s="42"/>
      <c r="E128" s="42"/>
      <c r="F128" s="42"/>
      <c r="G128" s="43" t="s">
        <v>113</v>
      </c>
      <c r="H128" s="42" t="s">
        <v>205</v>
      </c>
      <c r="I128" s="42" t="s">
        <v>208</v>
      </c>
      <c r="J128" s="43"/>
    </row>
    <row r="129" spans="1:10" ht="12.75">
      <c r="A129" s="42" t="s">
        <v>191</v>
      </c>
      <c r="B129" s="89">
        <v>45967</v>
      </c>
      <c r="C129" s="42"/>
      <c r="D129" s="42"/>
      <c r="E129" s="42"/>
      <c r="F129" s="42"/>
      <c r="G129" s="43"/>
      <c r="H129" s="42" t="s">
        <v>192</v>
      </c>
      <c r="I129" s="91" t="s">
        <v>137</v>
      </c>
      <c r="J129" s="43"/>
    </row>
    <row r="130" spans="1:10" ht="12.75">
      <c r="A130" s="42"/>
      <c r="B130" s="42"/>
      <c r="C130" s="42"/>
      <c r="D130" s="42"/>
      <c r="E130" s="42"/>
      <c r="F130" s="42"/>
      <c r="G130" s="43"/>
      <c r="H130" s="43"/>
      <c r="I130" s="43"/>
      <c r="J130" s="43"/>
    </row>
    <row r="131" spans="1:10" ht="12.75">
      <c r="A131" s="42"/>
      <c r="B131" s="44" t="s">
        <v>193</v>
      </c>
      <c r="C131" s="44" t="s">
        <v>194</v>
      </c>
      <c r="D131" s="44" t="s">
        <v>195</v>
      </c>
      <c r="E131" s="44" t="s">
        <v>196</v>
      </c>
      <c r="F131" s="44" t="s">
        <v>197</v>
      </c>
      <c r="G131" s="44" t="s">
        <v>198</v>
      </c>
      <c r="H131" s="44" t="s">
        <v>199</v>
      </c>
      <c r="I131" s="44" t="s">
        <v>200</v>
      </c>
      <c r="J131" s="44" t="s">
        <v>199</v>
      </c>
    </row>
    <row r="132" spans="1:10" ht="12.75">
      <c r="A132" s="42"/>
      <c r="B132" s="79"/>
      <c r="C132" s="85"/>
      <c r="D132" s="45"/>
      <c r="E132" s="45"/>
      <c r="F132" s="46"/>
      <c r="G132" s="45"/>
      <c r="H132" s="46"/>
      <c r="I132" s="45"/>
      <c r="J132" s="47"/>
    </row>
    <row r="133" spans="1:10" ht="12.75">
      <c r="B133" s="82">
        <v>1</v>
      </c>
      <c r="C133" s="60" t="s">
        <v>209</v>
      </c>
      <c r="D133" s="48" t="s">
        <v>202</v>
      </c>
      <c r="E133" s="48"/>
      <c r="F133" s="69">
        <v>45967</v>
      </c>
      <c r="G133" s="48" t="s">
        <v>113</v>
      </c>
      <c r="H133" s="49"/>
      <c r="I133" s="48" t="s">
        <v>139</v>
      </c>
      <c r="J133" s="49">
        <v>1475353</v>
      </c>
    </row>
    <row r="134" spans="1:10" ht="12.75">
      <c r="B134" s="82"/>
      <c r="C134" s="60"/>
      <c r="D134" s="48"/>
      <c r="E134" s="48"/>
      <c r="F134" s="49"/>
      <c r="G134" s="48"/>
      <c r="H134" s="49"/>
      <c r="I134" s="48"/>
      <c r="J134" s="49"/>
    </row>
    <row r="135" spans="1:10" ht="12.75">
      <c r="A135" s="42"/>
      <c r="B135" s="82"/>
      <c r="C135" s="60"/>
      <c r="D135" s="48"/>
      <c r="E135" s="48"/>
      <c r="F135" s="69"/>
      <c r="G135" s="48"/>
      <c r="H135" s="49"/>
      <c r="I135" s="48"/>
      <c r="J135" s="49"/>
    </row>
    <row r="136" spans="1:10" ht="12.75">
      <c r="A136" s="42"/>
      <c r="B136" s="82"/>
      <c r="C136" s="60"/>
      <c r="D136" s="48"/>
      <c r="E136" s="48"/>
      <c r="F136" s="49"/>
      <c r="G136" s="48"/>
      <c r="H136" s="49"/>
      <c r="I136" s="48"/>
      <c r="J136" s="49"/>
    </row>
    <row r="137" spans="1:10" ht="12.75">
      <c r="B137" s="82"/>
      <c r="C137" s="60"/>
      <c r="D137" s="48"/>
      <c r="E137" s="48"/>
      <c r="F137" s="69"/>
      <c r="G137" s="48"/>
      <c r="H137" s="49"/>
      <c r="I137" s="48"/>
      <c r="J137" s="49"/>
    </row>
    <row r="138" spans="1:10" ht="12.75">
      <c r="B138" s="82"/>
      <c r="C138" s="60"/>
      <c r="D138" s="48"/>
      <c r="E138" s="48"/>
      <c r="F138" s="49"/>
      <c r="G138" s="48"/>
      <c r="H138" s="49"/>
      <c r="I138" s="48"/>
      <c r="J138" s="49"/>
    </row>
    <row r="139" spans="1:10" ht="12.75">
      <c r="A139" s="42"/>
      <c r="B139" s="82"/>
      <c r="C139" s="60"/>
      <c r="D139" s="48"/>
      <c r="E139" s="48"/>
      <c r="F139" s="69"/>
      <c r="G139" s="48"/>
      <c r="H139" s="49"/>
      <c r="I139" s="48"/>
      <c r="J139" s="49"/>
    </row>
    <row r="140" spans="1:10" ht="12.75">
      <c r="A140" s="42"/>
      <c r="B140" s="80"/>
      <c r="C140" s="86"/>
      <c r="D140" s="48"/>
      <c r="E140" s="48"/>
      <c r="F140" s="49"/>
      <c r="G140" s="48"/>
      <c r="H140" s="49"/>
      <c r="I140" s="48"/>
      <c r="J140" s="49"/>
    </row>
    <row r="141" spans="1:10" ht="12.75">
      <c r="B141" s="80"/>
      <c r="C141" s="60"/>
      <c r="D141" s="48"/>
      <c r="E141" s="48"/>
      <c r="F141" s="69"/>
      <c r="G141" s="48"/>
      <c r="H141" s="49"/>
      <c r="I141" s="48"/>
      <c r="J141" s="49"/>
    </row>
    <row r="142" spans="1:10" ht="12.75">
      <c r="A142" s="42"/>
      <c r="B142" s="80"/>
      <c r="C142" s="86"/>
      <c r="D142" s="48"/>
      <c r="E142" s="48"/>
      <c r="F142" s="49"/>
      <c r="G142" s="48"/>
      <c r="H142" s="49"/>
      <c r="I142" s="48"/>
      <c r="J142" s="49"/>
    </row>
    <row r="143" spans="1:10" ht="12.75">
      <c r="A143" s="42"/>
      <c r="B143" s="80"/>
      <c r="C143" s="60"/>
      <c r="D143" s="48"/>
      <c r="E143" s="48"/>
      <c r="F143" s="69"/>
      <c r="G143" s="48"/>
      <c r="H143" s="49"/>
      <c r="I143" s="48"/>
      <c r="J143" s="49"/>
    </row>
    <row r="144" spans="1:10" ht="12.75">
      <c r="A144" s="42"/>
      <c r="B144" s="80"/>
      <c r="C144" s="86"/>
      <c r="D144" s="48"/>
      <c r="E144" s="48"/>
      <c r="F144" s="49"/>
      <c r="G144" s="48"/>
      <c r="H144" s="49"/>
      <c r="I144" s="48"/>
      <c r="J144" s="49"/>
    </row>
    <row r="145" spans="1:10" ht="12.75">
      <c r="A145" s="42"/>
      <c r="B145" s="80"/>
      <c r="C145" s="86"/>
      <c r="D145" s="48"/>
      <c r="E145" s="48"/>
      <c r="F145" s="49"/>
      <c r="G145" s="48"/>
      <c r="H145" s="49"/>
      <c r="I145" s="48"/>
      <c r="J145" s="49"/>
    </row>
    <row r="146" spans="1:10" ht="12.75">
      <c r="A146" s="42"/>
      <c r="B146" s="80"/>
      <c r="C146" s="86"/>
      <c r="D146" s="48"/>
      <c r="E146" s="48"/>
      <c r="F146" s="49"/>
      <c r="G146" s="48"/>
      <c r="H146" s="49"/>
      <c r="I146" s="48"/>
      <c r="J146" s="49"/>
    </row>
    <row r="147" spans="1:10" ht="12.75">
      <c r="A147" s="42"/>
      <c r="B147" s="80"/>
      <c r="C147" s="86"/>
      <c r="D147" s="48"/>
      <c r="E147" s="48"/>
      <c r="F147" s="49"/>
      <c r="G147" s="48"/>
      <c r="H147" s="49"/>
      <c r="I147" s="48"/>
      <c r="J147" s="49"/>
    </row>
    <row r="148" spans="1:10" ht="12.75">
      <c r="A148" s="42"/>
      <c r="B148" s="80"/>
      <c r="C148" s="86"/>
      <c r="D148" s="48"/>
      <c r="E148" s="48"/>
      <c r="F148" s="49"/>
      <c r="G148" s="48"/>
      <c r="H148" s="49"/>
      <c r="I148" s="48"/>
      <c r="J148" s="49"/>
    </row>
    <row r="149" spans="1:10" ht="12.75">
      <c r="A149" s="42"/>
      <c r="B149" s="80"/>
      <c r="C149" s="86"/>
      <c r="D149" s="48"/>
      <c r="E149" s="48"/>
      <c r="F149" s="49"/>
      <c r="G149" s="48"/>
      <c r="H149" s="49"/>
      <c r="I149" s="48"/>
      <c r="J149" s="49"/>
    </row>
    <row r="150" spans="1:10" ht="12.75">
      <c r="A150" s="42"/>
      <c r="B150" s="80"/>
      <c r="C150" s="86"/>
      <c r="D150" s="48"/>
      <c r="E150" s="48"/>
      <c r="F150" s="49"/>
      <c r="G150" s="48"/>
      <c r="H150" s="49"/>
      <c r="I150" s="48"/>
      <c r="J150" s="49"/>
    </row>
    <row r="151" spans="1:10" ht="12.75">
      <c r="A151" s="42"/>
      <c r="B151" s="80"/>
      <c r="C151" s="86"/>
      <c r="D151" s="48"/>
      <c r="E151" s="48"/>
      <c r="F151" s="49"/>
      <c r="G151" s="48"/>
      <c r="H151" s="49"/>
      <c r="I151" s="48"/>
      <c r="J151" s="49"/>
    </row>
    <row r="152" spans="1:10" ht="12.75">
      <c r="A152" s="42"/>
      <c r="B152" s="80"/>
      <c r="C152" s="86"/>
      <c r="D152" s="48"/>
      <c r="E152" s="48"/>
      <c r="F152" s="49"/>
      <c r="G152" s="48"/>
      <c r="H152" s="49"/>
      <c r="I152" s="48"/>
      <c r="J152" s="49"/>
    </row>
    <row r="153" spans="1:10" ht="12.75">
      <c r="A153" s="42"/>
      <c r="B153" s="80"/>
      <c r="C153" s="86"/>
      <c r="D153" s="48"/>
      <c r="E153" s="48"/>
      <c r="F153" s="49"/>
      <c r="G153" s="48"/>
      <c r="H153" s="49"/>
      <c r="I153" s="48"/>
      <c r="J153" s="49"/>
    </row>
    <row r="154" spans="1:10" ht="12.75">
      <c r="A154" s="42"/>
      <c r="B154" s="80"/>
      <c r="C154" s="86"/>
      <c r="D154" s="48"/>
      <c r="E154" s="48"/>
      <c r="F154" s="49"/>
      <c r="G154" s="48"/>
      <c r="H154" s="49"/>
      <c r="I154" s="48"/>
      <c r="J154" s="49"/>
    </row>
    <row r="155" spans="1:10" ht="12.75">
      <c r="A155" s="42"/>
      <c r="B155" s="80"/>
      <c r="C155" s="86"/>
      <c r="D155" s="48"/>
      <c r="E155" s="48"/>
      <c r="F155" s="49"/>
      <c r="G155" s="48"/>
      <c r="H155" s="49"/>
      <c r="I155" s="48"/>
      <c r="J155" s="49"/>
    </row>
    <row r="156" spans="1:10" ht="12.75">
      <c r="A156" s="42"/>
      <c r="B156" s="80"/>
      <c r="C156" s="86"/>
      <c r="D156" s="48"/>
      <c r="E156" s="48"/>
      <c r="F156" s="49"/>
      <c r="G156" s="48"/>
      <c r="H156" s="49"/>
      <c r="I156" s="48"/>
      <c r="J156" s="49"/>
    </row>
    <row r="157" spans="1:10" ht="12.75">
      <c r="A157" s="42"/>
      <c r="B157" s="80"/>
      <c r="C157" s="86"/>
      <c r="D157" s="48"/>
      <c r="E157" s="48"/>
      <c r="F157" s="49"/>
      <c r="G157" s="48"/>
      <c r="H157" s="49"/>
      <c r="I157" s="48"/>
      <c r="J157" s="49"/>
    </row>
    <row r="158" spans="1:10" ht="12.75">
      <c r="A158" s="42"/>
      <c r="B158" s="80"/>
      <c r="C158" s="86"/>
      <c r="D158" s="48"/>
      <c r="E158" s="48"/>
      <c r="F158" s="49"/>
      <c r="G158" s="48"/>
      <c r="H158" s="49"/>
      <c r="I158" s="48"/>
      <c r="J158" s="49"/>
    </row>
    <row r="159" spans="1:10" ht="12.75">
      <c r="A159" s="42" t="s">
        <v>207</v>
      </c>
      <c r="B159" s="80"/>
      <c r="C159" s="86"/>
      <c r="D159" s="48"/>
      <c r="E159" s="48"/>
      <c r="F159" s="49"/>
      <c r="G159" s="48"/>
      <c r="H159" s="49"/>
      <c r="I159" s="48"/>
      <c r="J159" s="49">
        <f>SUM(J133:J158)</f>
        <v>1475353</v>
      </c>
    </row>
    <row r="160" spans="1:10" ht="12.75">
      <c r="A160" s="43"/>
      <c r="B160" s="80"/>
      <c r="C160" s="86"/>
      <c r="D160" s="48"/>
      <c r="E160" s="48"/>
      <c r="F160" s="49"/>
      <c r="G160" s="48"/>
      <c r="H160" s="49"/>
      <c r="I160" s="48"/>
      <c r="J160" s="49"/>
    </row>
    <row r="161" spans="1:10" ht="12.75">
      <c r="A161" s="43"/>
      <c r="B161" s="84"/>
      <c r="C161" s="88"/>
      <c r="D161" s="54"/>
      <c r="E161" s="54"/>
      <c r="F161" s="55"/>
      <c r="G161" s="54"/>
      <c r="H161" s="55"/>
      <c r="I161" s="54"/>
      <c r="J161" s="55"/>
    </row>
    <row r="162" spans="1:10" ht="12.75"/>
    <row r="163" spans="1:10" ht="12.75"/>
    <row r="164" spans="1:10" ht="12.75">
      <c r="A164" s="41" t="s">
        <v>204</v>
      </c>
      <c r="B164" s="41"/>
      <c r="C164" s="41"/>
      <c r="D164" s="41"/>
      <c r="E164" s="41"/>
      <c r="F164" s="41"/>
    </row>
    <row r="165" spans="1:10" ht="12.75"/>
    <row r="166" spans="1:10" ht="12.75"/>
    <row r="167" spans="1:10" ht="12.75">
      <c r="A167" s="42" t="s">
        <v>188</v>
      </c>
      <c r="B167" s="42" t="s">
        <v>189</v>
      </c>
      <c r="C167" s="42"/>
      <c r="D167" s="42"/>
      <c r="E167" s="42"/>
      <c r="F167" s="42"/>
      <c r="G167" s="43" t="s">
        <v>113</v>
      </c>
      <c r="H167" s="42" t="s">
        <v>205</v>
      </c>
      <c r="I167" s="42" t="s">
        <v>210</v>
      </c>
      <c r="J167" s="43"/>
    </row>
    <row r="168" spans="1:10" ht="12.75">
      <c r="A168" s="42" t="s">
        <v>191</v>
      </c>
      <c r="B168" s="89">
        <v>45967</v>
      </c>
      <c r="C168" s="42"/>
      <c r="D168" s="42"/>
      <c r="E168" s="42"/>
      <c r="F168" s="42"/>
      <c r="G168" s="43"/>
      <c r="H168" s="42" t="s">
        <v>192</v>
      </c>
      <c r="I168" s="91" t="s">
        <v>154</v>
      </c>
      <c r="J168" s="43"/>
    </row>
    <row r="169" spans="1:10" ht="12.75">
      <c r="A169" s="42"/>
      <c r="B169" s="42"/>
      <c r="C169" s="42"/>
      <c r="D169" s="42"/>
      <c r="E169" s="42"/>
      <c r="F169" s="42"/>
      <c r="G169" s="43"/>
      <c r="H169" s="43"/>
      <c r="I169" s="43"/>
      <c r="J169" s="43"/>
    </row>
    <row r="170" spans="1:10" ht="12.75">
      <c r="A170" s="42"/>
      <c r="B170" s="44" t="s">
        <v>193</v>
      </c>
      <c r="C170" s="44" t="s">
        <v>194</v>
      </c>
      <c r="D170" s="44" t="s">
        <v>195</v>
      </c>
      <c r="E170" s="44" t="s">
        <v>196</v>
      </c>
      <c r="F170" s="44" t="s">
        <v>197</v>
      </c>
      <c r="G170" s="44" t="s">
        <v>198</v>
      </c>
      <c r="H170" s="44" t="s">
        <v>199</v>
      </c>
      <c r="I170" s="44" t="s">
        <v>200</v>
      </c>
      <c r="J170" s="44" t="s">
        <v>199</v>
      </c>
    </row>
    <row r="171" spans="1:10" ht="12.75">
      <c r="A171" s="42"/>
      <c r="B171" s="79"/>
      <c r="C171" s="85"/>
      <c r="D171" s="45"/>
      <c r="E171" s="45"/>
      <c r="F171" s="46"/>
      <c r="G171" s="45"/>
      <c r="H171" s="46"/>
      <c r="I171" s="45"/>
      <c r="J171" s="47"/>
    </row>
    <row r="172" spans="1:10" ht="12.75">
      <c r="B172" s="82">
        <v>1</v>
      </c>
      <c r="C172" s="60" t="s">
        <v>209</v>
      </c>
      <c r="D172" s="48" t="s">
        <v>202</v>
      </c>
      <c r="E172" s="48"/>
      <c r="F172" s="69">
        <v>45967</v>
      </c>
      <c r="G172" s="48" t="s">
        <v>113</v>
      </c>
      <c r="H172" s="49"/>
      <c r="I172" s="48" t="s">
        <v>139</v>
      </c>
      <c r="J172" s="49">
        <v>890011</v>
      </c>
    </row>
    <row r="173" spans="1:10" ht="12.75">
      <c r="B173" s="82"/>
      <c r="C173" s="60"/>
      <c r="D173" s="48"/>
      <c r="E173" s="48"/>
      <c r="F173" s="49"/>
      <c r="G173" s="48"/>
      <c r="H173" s="49"/>
      <c r="I173" s="48"/>
      <c r="J173" s="49"/>
    </row>
    <row r="174" spans="1:10" ht="12.75">
      <c r="A174" s="42"/>
      <c r="B174" s="82">
        <v>1</v>
      </c>
      <c r="C174" s="60" t="s">
        <v>209</v>
      </c>
      <c r="D174" s="48" t="s">
        <v>202</v>
      </c>
      <c r="E174" s="48"/>
      <c r="F174" s="69">
        <v>45967</v>
      </c>
      <c r="G174" s="48" t="s">
        <v>125</v>
      </c>
      <c r="H174" s="49">
        <v>679247</v>
      </c>
      <c r="I174" s="48" t="s">
        <v>113</v>
      </c>
      <c r="J174" s="49" t="s">
        <v>113</v>
      </c>
    </row>
    <row r="175" spans="1:10" ht="12.75">
      <c r="A175" s="42"/>
      <c r="B175" s="82"/>
      <c r="C175" s="60"/>
      <c r="D175" s="48"/>
      <c r="E175" s="48"/>
      <c r="F175" s="49"/>
      <c r="G175" s="48"/>
      <c r="H175" s="49"/>
      <c r="I175" s="48"/>
      <c r="J175" s="49"/>
    </row>
    <row r="176" spans="1:10" ht="12.75">
      <c r="B176" s="82"/>
      <c r="C176" s="60"/>
      <c r="D176" s="48"/>
      <c r="E176" s="48"/>
      <c r="F176" s="69"/>
      <c r="G176" s="48"/>
      <c r="H176" s="49"/>
      <c r="I176" s="48"/>
      <c r="J176" s="49"/>
    </row>
    <row r="177" spans="1:10" ht="12.75">
      <c r="B177" s="82"/>
      <c r="C177" s="60"/>
      <c r="D177" s="48"/>
      <c r="E177" s="48"/>
      <c r="F177" s="49"/>
      <c r="G177" s="48"/>
      <c r="H177" s="49"/>
      <c r="I177" s="48"/>
      <c r="J177" s="49"/>
    </row>
    <row r="178" spans="1:10" ht="12.75">
      <c r="A178" s="42"/>
      <c r="B178" s="82"/>
      <c r="C178" s="60"/>
      <c r="D178" s="48"/>
      <c r="E178" s="48"/>
      <c r="F178" s="69"/>
      <c r="G178" s="48"/>
      <c r="H178" s="49"/>
      <c r="I178" s="48"/>
      <c r="J178" s="49"/>
    </row>
    <row r="179" spans="1:10" ht="12.75">
      <c r="A179" s="42"/>
      <c r="B179" s="80"/>
      <c r="C179" s="86"/>
      <c r="D179" s="48"/>
      <c r="E179" s="48"/>
      <c r="F179" s="49"/>
      <c r="G179" s="48"/>
      <c r="H179" s="49"/>
      <c r="I179" s="48"/>
      <c r="J179" s="49"/>
    </row>
    <row r="180" spans="1:10" ht="12.75">
      <c r="B180" s="80"/>
      <c r="C180" s="60"/>
      <c r="D180" s="48"/>
      <c r="E180" s="48"/>
      <c r="F180" s="69"/>
      <c r="G180" s="48"/>
      <c r="H180" s="49"/>
      <c r="I180" s="48"/>
      <c r="J180" s="49"/>
    </row>
    <row r="181" spans="1:10" ht="12.75">
      <c r="A181" s="42"/>
      <c r="B181" s="80"/>
      <c r="C181" s="86"/>
      <c r="D181" s="48"/>
      <c r="E181" s="48"/>
      <c r="F181" s="49"/>
      <c r="G181" s="48"/>
      <c r="H181" s="49"/>
      <c r="I181" s="48"/>
      <c r="J181" s="49"/>
    </row>
    <row r="182" spans="1:10" ht="12.75">
      <c r="A182" s="42"/>
      <c r="B182" s="80"/>
      <c r="C182" s="60"/>
      <c r="D182" s="48"/>
      <c r="E182" s="48"/>
      <c r="F182" s="69"/>
      <c r="G182" s="48"/>
      <c r="H182" s="49"/>
      <c r="I182" s="48"/>
      <c r="J182" s="49"/>
    </row>
    <row r="183" spans="1:10" ht="12.75">
      <c r="A183" s="42"/>
      <c r="B183" s="80"/>
      <c r="C183" s="86"/>
      <c r="D183" s="48"/>
      <c r="E183" s="48"/>
      <c r="F183" s="49"/>
      <c r="G183" s="48"/>
      <c r="H183" s="49"/>
      <c r="I183" s="48"/>
      <c r="J183" s="49"/>
    </row>
    <row r="184" spans="1:10" ht="12.75">
      <c r="A184" s="42"/>
      <c r="B184" s="80"/>
      <c r="C184" s="86"/>
      <c r="D184" s="48"/>
      <c r="E184" s="48"/>
      <c r="F184" s="49"/>
      <c r="G184" s="48"/>
      <c r="H184" s="49"/>
      <c r="I184" s="48"/>
      <c r="J184" s="49"/>
    </row>
    <row r="185" spans="1:10" ht="12.75">
      <c r="A185" s="42"/>
      <c r="B185" s="80"/>
      <c r="C185" s="86"/>
      <c r="D185" s="48"/>
      <c r="E185" s="48"/>
      <c r="F185" s="49"/>
      <c r="G185" s="48"/>
      <c r="H185" s="49"/>
      <c r="I185" s="48"/>
      <c r="J185" s="49"/>
    </row>
    <row r="186" spans="1:10" ht="12.75">
      <c r="A186" s="42"/>
      <c r="B186" s="80"/>
      <c r="C186" s="86"/>
      <c r="D186" s="48"/>
      <c r="E186" s="48"/>
      <c r="F186" s="49"/>
      <c r="G186" s="48"/>
      <c r="H186" s="49"/>
      <c r="I186" s="48"/>
      <c r="J186" s="49"/>
    </row>
    <row r="187" spans="1:10" ht="12.75">
      <c r="A187" s="42"/>
      <c r="B187" s="80"/>
      <c r="C187" s="86"/>
      <c r="D187" s="48"/>
      <c r="E187" s="48"/>
      <c r="F187" s="49"/>
      <c r="G187" s="48"/>
      <c r="H187" s="49"/>
      <c r="I187" s="48"/>
      <c r="J187" s="49"/>
    </row>
    <row r="188" spans="1:10" ht="12.75">
      <c r="A188" s="42"/>
      <c r="B188" s="80"/>
      <c r="C188" s="86"/>
      <c r="D188" s="48"/>
      <c r="E188" s="48"/>
      <c r="F188" s="49"/>
      <c r="G188" s="48"/>
      <c r="H188" s="49"/>
      <c r="I188" s="48"/>
      <c r="J188" s="49"/>
    </row>
    <row r="189" spans="1:10" ht="12.75">
      <c r="A189" s="42"/>
      <c r="B189" s="80"/>
      <c r="C189" s="86"/>
      <c r="D189" s="48"/>
      <c r="E189" s="48"/>
      <c r="F189" s="49"/>
      <c r="G189" s="48"/>
      <c r="H189" s="49"/>
      <c r="I189" s="48"/>
      <c r="J189" s="49"/>
    </row>
    <row r="190" spans="1:10" ht="12.75">
      <c r="A190" s="42"/>
      <c r="B190" s="80"/>
      <c r="C190" s="86"/>
      <c r="D190" s="48"/>
      <c r="E190" s="48"/>
      <c r="F190" s="49"/>
      <c r="G190" s="48"/>
      <c r="H190" s="49"/>
      <c r="I190" s="48"/>
      <c r="J190" s="49"/>
    </row>
    <row r="191" spans="1:10" ht="12.75">
      <c r="A191" s="42"/>
      <c r="B191" s="80"/>
      <c r="C191" s="86"/>
      <c r="D191" s="48"/>
      <c r="E191" s="48"/>
      <c r="F191" s="49"/>
      <c r="G191" s="48"/>
      <c r="H191" s="49"/>
      <c r="I191" s="48"/>
      <c r="J191" s="49"/>
    </row>
    <row r="192" spans="1:10" ht="12.75">
      <c r="A192" s="42"/>
      <c r="B192" s="80"/>
      <c r="C192" s="86"/>
      <c r="D192" s="48"/>
      <c r="E192" s="48"/>
      <c r="F192" s="49"/>
      <c r="G192" s="48"/>
      <c r="H192" s="49"/>
      <c r="I192" s="48"/>
      <c r="J192" s="49"/>
    </row>
    <row r="193" spans="1:10" ht="12.75">
      <c r="A193" s="42"/>
      <c r="B193" s="80"/>
      <c r="C193" s="86"/>
      <c r="D193" s="48"/>
      <c r="E193" s="48"/>
      <c r="F193" s="49"/>
      <c r="G193" s="48"/>
      <c r="H193" s="49"/>
      <c r="I193" s="48"/>
      <c r="J193" s="49"/>
    </row>
    <row r="194" spans="1:10" ht="12.75">
      <c r="A194" s="42"/>
      <c r="B194" s="80"/>
      <c r="C194" s="86"/>
      <c r="D194" s="48"/>
      <c r="E194" s="48"/>
      <c r="F194" s="49"/>
      <c r="G194" s="48"/>
      <c r="H194" s="49"/>
      <c r="I194" s="48"/>
      <c r="J194" s="49"/>
    </row>
    <row r="195" spans="1:10" ht="12.75">
      <c r="A195" s="42"/>
      <c r="B195" s="80"/>
      <c r="C195" s="86"/>
      <c r="D195" s="48"/>
      <c r="E195" s="48"/>
      <c r="F195" s="49"/>
      <c r="G195" s="48"/>
      <c r="H195" s="49"/>
      <c r="I195" s="48"/>
      <c r="J195" s="49"/>
    </row>
    <row r="196" spans="1:10" ht="12.75">
      <c r="A196" s="42"/>
      <c r="B196" s="80"/>
      <c r="C196" s="86"/>
      <c r="D196" s="48"/>
      <c r="E196" s="48"/>
      <c r="F196" s="49"/>
      <c r="G196" s="48"/>
      <c r="H196" s="49"/>
      <c r="I196" s="48"/>
      <c r="J196" s="49"/>
    </row>
    <row r="197" spans="1:10" ht="12.75">
      <c r="A197" s="42"/>
      <c r="B197" s="80"/>
      <c r="C197" s="86"/>
      <c r="D197" s="48"/>
      <c r="E197" s="48"/>
      <c r="F197" s="49"/>
      <c r="G197" s="48"/>
      <c r="H197" s="49"/>
      <c r="I197" s="48"/>
      <c r="J197" s="49"/>
    </row>
    <row r="198" spans="1:10" ht="12.75">
      <c r="A198" s="42" t="s">
        <v>207</v>
      </c>
      <c r="B198" s="80"/>
      <c r="C198" s="86"/>
      <c r="D198" s="48"/>
      <c r="E198" s="48"/>
      <c r="F198" s="49"/>
      <c r="G198" s="48"/>
      <c r="H198" s="49">
        <f>SUM(H172:H197)</f>
        <v>679247</v>
      </c>
      <c r="I198" s="48"/>
      <c r="J198" s="49">
        <f>SUM(J172:J197)</f>
        <v>890011</v>
      </c>
    </row>
    <row r="199" spans="1:10" ht="12.75">
      <c r="A199" s="43"/>
      <c r="B199" s="80"/>
      <c r="C199" s="86"/>
      <c r="D199" s="48"/>
      <c r="E199" s="48"/>
      <c r="F199" s="49"/>
      <c r="G199" s="48"/>
      <c r="H199" s="49"/>
      <c r="I199" s="48"/>
      <c r="J199" s="49"/>
    </row>
    <row r="200" spans="1:10" ht="12.75">
      <c r="A200" s="43"/>
      <c r="B200" s="84"/>
      <c r="C200" s="88"/>
      <c r="D200" s="54"/>
      <c r="E200" s="54"/>
      <c r="F200" s="55"/>
      <c r="G200" s="54"/>
      <c r="H200" s="55"/>
      <c r="I200" s="54"/>
      <c r="J200" s="55"/>
    </row>
    <row r="201" spans="1:10" ht="12.75"/>
    <row r="202" spans="1:10" ht="12.75"/>
    <row r="203" spans="1:10" ht="12.75"/>
    <row r="204" spans="1:10" ht="12.75">
      <c r="A204" s="41" t="s">
        <v>187</v>
      </c>
      <c r="B204" s="41"/>
      <c r="C204" s="41"/>
      <c r="D204" s="41"/>
      <c r="E204" s="41"/>
      <c r="F204" s="41"/>
    </row>
    <row r="205" spans="1:10" ht="12.75">
      <c r="F205" s="68" t="s">
        <v>113</v>
      </c>
    </row>
    <row r="206" spans="1:10" ht="12.75"/>
    <row r="207" spans="1:10" ht="12.75">
      <c r="A207" s="42" t="s">
        <v>188</v>
      </c>
      <c r="B207" s="42" t="s">
        <v>189</v>
      </c>
      <c r="C207" s="42"/>
      <c r="D207" s="42"/>
      <c r="E207" s="42"/>
      <c r="F207" s="42"/>
      <c r="G207" s="43" t="s">
        <v>113</v>
      </c>
      <c r="H207" s="42" t="s">
        <v>175</v>
      </c>
      <c r="I207" s="90" t="s">
        <v>190</v>
      </c>
      <c r="J207" s="43"/>
    </row>
    <row r="208" spans="1:10" ht="12.75">
      <c r="A208" s="42" t="s">
        <v>191</v>
      </c>
      <c r="B208" s="89">
        <v>45968</v>
      </c>
      <c r="C208" s="42"/>
      <c r="D208" s="42"/>
      <c r="E208" s="42"/>
      <c r="F208" s="42"/>
      <c r="G208" s="43"/>
      <c r="H208" s="42" t="s">
        <v>192</v>
      </c>
      <c r="I208" s="91" t="s">
        <v>109</v>
      </c>
      <c r="J208" s="43"/>
    </row>
    <row r="209" spans="1:10" ht="12.75">
      <c r="A209" s="42"/>
      <c r="B209" s="42"/>
      <c r="C209" s="42"/>
      <c r="D209" s="42"/>
      <c r="E209" s="42"/>
      <c r="F209" s="42"/>
      <c r="G209" s="43"/>
      <c r="H209" s="43"/>
      <c r="I209" s="43"/>
      <c r="J209" s="43"/>
    </row>
    <row r="210" spans="1:10" ht="12.75">
      <c r="A210" s="42"/>
      <c r="B210" s="44" t="s">
        <v>193</v>
      </c>
      <c r="C210" s="44" t="s">
        <v>194</v>
      </c>
      <c r="D210" s="44" t="s">
        <v>195</v>
      </c>
      <c r="E210" s="44" t="s">
        <v>196</v>
      </c>
      <c r="F210" s="44" t="s">
        <v>197</v>
      </c>
      <c r="G210" s="44" t="s">
        <v>198</v>
      </c>
      <c r="H210" s="44" t="s">
        <v>199</v>
      </c>
      <c r="I210" s="44" t="s">
        <v>200</v>
      </c>
      <c r="J210" s="44" t="s">
        <v>199</v>
      </c>
    </row>
    <row r="211" spans="1:10" ht="12.75">
      <c r="A211" s="42"/>
      <c r="B211" s="79"/>
      <c r="C211" s="85"/>
      <c r="D211" s="45"/>
      <c r="E211" s="45"/>
      <c r="F211" s="46"/>
      <c r="G211" s="45"/>
      <c r="H211" s="46"/>
      <c r="I211" s="45"/>
      <c r="J211" s="47"/>
    </row>
    <row r="212" spans="1:10" ht="12.75">
      <c r="B212" s="80">
        <v>1</v>
      </c>
      <c r="C212" s="86" t="s">
        <v>201</v>
      </c>
      <c r="D212" s="48" t="s">
        <v>202</v>
      </c>
      <c r="E212" s="48"/>
      <c r="F212" s="69">
        <v>45968</v>
      </c>
      <c r="G212" s="48" t="s">
        <v>125</v>
      </c>
      <c r="H212" s="49">
        <v>2360179</v>
      </c>
      <c r="I212" s="48" t="s">
        <v>113</v>
      </c>
      <c r="J212" s="49" t="s">
        <v>113</v>
      </c>
    </row>
    <row r="213" spans="1:10" ht="12.75">
      <c r="A213" s="42"/>
      <c r="B213" s="80"/>
      <c r="C213" s="86"/>
      <c r="D213" s="48"/>
      <c r="E213" s="48"/>
      <c r="F213" s="49"/>
      <c r="G213" s="48"/>
      <c r="H213" s="49"/>
      <c r="I213" s="48"/>
      <c r="J213" s="49"/>
    </row>
    <row r="214" spans="1:10" ht="12.75">
      <c r="B214" s="81"/>
      <c r="C214" s="59"/>
      <c r="D214" s="48"/>
      <c r="E214" s="48"/>
      <c r="F214" s="69"/>
      <c r="G214" s="48"/>
      <c r="H214" s="49"/>
      <c r="I214" s="48"/>
      <c r="J214" s="49"/>
    </row>
    <row r="215" spans="1:10" ht="12.75">
      <c r="B215" s="81"/>
      <c r="C215" s="59"/>
      <c r="D215" s="48"/>
      <c r="E215" s="48"/>
      <c r="F215" s="49"/>
      <c r="G215" s="48"/>
      <c r="H215" s="49"/>
      <c r="I215" s="48"/>
      <c r="J215" s="49"/>
    </row>
    <row r="216" spans="1:10" ht="12.75">
      <c r="A216" s="42"/>
      <c r="B216" s="81"/>
      <c r="C216" s="104"/>
      <c r="D216" s="48"/>
      <c r="E216" s="48"/>
      <c r="F216" s="69"/>
      <c r="G216" s="48"/>
      <c r="H216" s="49"/>
      <c r="I216" s="48"/>
      <c r="J216" s="49"/>
    </row>
    <row r="217" spans="1:10" ht="12.75">
      <c r="A217" s="42"/>
      <c r="B217" s="81"/>
      <c r="C217" s="59"/>
      <c r="D217" s="48"/>
      <c r="E217" s="48"/>
      <c r="F217" s="49"/>
      <c r="G217" s="48"/>
      <c r="H217" s="49"/>
      <c r="I217" s="48"/>
      <c r="J217" s="49"/>
    </row>
    <row r="218" spans="1:10" ht="12.75">
      <c r="A218" s="42"/>
      <c r="B218" s="82"/>
      <c r="C218" s="60"/>
      <c r="D218" s="48"/>
      <c r="E218" s="48"/>
      <c r="F218" s="69"/>
      <c r="G218" s="48"/>
      <c r="H218" s="49"/>
      <c r="I218" s="48"/>
      <c r="J218" s="49"/>
    </row>
    <row r="219" spans="1:10" ht="12.75">
      <c r="B219" s="80"/>
      <c r="C219" s="86"/>
      <c r="D219" s="48"/>
      <c r="E219" s="48"/>
      <c r="F219" s="49"/>
      <c r="G219" s="48"/>
      <c r="H219" s="49"/>
      <c r="I219" s="48"/>
      <c r="J219" s="49"/>
    </row>
    <row r="220" spans="1:10" ht="12.75">
      <c r="A220" s="42"/>
      <c r="B220" s="80"/>
      <c r="C220" s="86"/>
      <c r="D220" s="48"/>
      <c r="E220" s="48"/>
      <c r="F220" s="49"/>
      <c r="G220" s="48"/>
      <c r="H220" s="49"/>
      <c r="I220" s="48"/>
      <c r="J220" s="49"/>
    </row>
    <row r="221" spans="1:10" ht="12.75">
      <c r="A221" s="42"/>
      <c r="B221" s="80"/>
      <c r="C221" s="86"/>
      <c r="D221" s="48"/>
      <c r="E221" s="48"/>
      <c r="F221" s="49"/>
      <c r="G221" s="48"/>
      <c r="H221" s="49"/>
      <c r="I221" s="48"/>
      <c r="J221" s="49"/>
    </row>
    <row r="222" spans="1:10" ht="12.75">
      <c r="A222" s="42"/>
      <c r="B222" s="80"/>
      <c r="C222" s="86"/>
      <c r="D222" s="48"/>
      <c r="E222" s="48"/>
      <c r="F222" s="49"/>
      <c r="G222" s="48"/>
      <c r="H222" s="49"/>
      <c r="I222" s="48"/>
      <c r="J222" s="49"/>
    </row>
    <row r="223" spans="1:10" ht="12.75">
      <c r="A223" s="42"/>
      <c r="B223" s="80"/>
      <c r="C223" s="86"/>
      <c r="D223" s="48"/>
      <c r="E223" s="48"/>
      <c r="F223" s="49"/>
      <c r="G223" s="48"/>
      <c r="H223" s="49"/>
      <c r="I223" s="48"/>
      <c r="J223" s="49"/>
    </row>
    <row r="224" spans="1:10" ht="12.75">
      <c r="A224" s="42"/>
      <c r="B224" s="80"/>
      <c r="C224" s="86"/>
      <c r="D224" s="48"/>
      <c r="E224" s="48"/>
      <c r="F224" s="49"/>
      <c r="G224" s="48"/>
      <c r="H224" s="49"/>
      <c r="I224" s="48"/>
      <c r="J224" s="49"/>
    </row>
    <row r="225" spans="1:11" ht="12.75">
      <c r="A225" s="50"/>
      <c r="B225" s="83"/>
      <c r="C225" s="87"/>
      <c r="D225" s="51"/>
      <c r="E225" s="51"/>
      <c r="F225" s="52"/>
      <c r="G225" s="51"/>
      <c r="H225" s="52"/>
      <c r="I225" s="51"/>
      <c r="J225" s="52"/>
      <c r="K225" s="53"/>
    </row>
    <row r="226" spans="1:11" ht="12.75">
      <c r="A226" s="42"/>
      <c r="B226" s="80"/>
      <c r="C226" s="86"/>
      <c r="D226" s="48"/>
      <c r="E226" s="48"/>
      <c r="F226" s="49"/>
      <c r="G226" s="48"/>
      <c r="H226" s="49"/>
      <c r="I226" s="48"/>
      <c r="J226" s="49"/>
    </row>
    <row r="227" spans="1:11" ht="12.75">
      <c r="A227" s="42"/>
      <c r="B227" s="80"/>
      <c r="C227" s="86"/>
      <c r="D227" s="48"/>
      <c r="E227" s="48"/>
      <c r="F227" s="49"/>
      <c r="G227" s="48"/>
      <c r="H227" s="49"/>
      <c r="I227" s="48"/>
      <c r="J227" s="49"/>
    </row>
    <row r="228" spans="1:11" ht="12.75">
      <c r="A228" s="42"/>
      <c r="B228" s="80"/>
      <c r="C228" s="86"/>
      <c r="D228" s="48"/>
      <c r="E228" s="48"/>
      <c r="F228" s="49"/>
      <c r="G228" s="48"/>
      <c r="H228" s="49"/>
      <c r="I228" s="48"/>
      <c r="J228" s="49"/>
    </row>
    <row r="229" spans="1:11" ht="12.75">
      <c r="A229" s="42"/>
      <c r="B229" s="80"/>
      <c r="C229" s="86"/>
      <c r="D229" s="48"/>
      <c r="E229" s="48"/>
      <c r="F229" s="49"/>
      <c r="G229" s="48"/>
      <c r="H229" s="49"/>
      <c r="I229" s="48"/>
      <c r="J229" s="49"/>
    </row>
    <row r="230" spans="1:11" ht="12.75">
      <c r="A230" s="42"/>
      <c r="B230" s="80"/>
      <c r="C230" s="86"/>
      <c r="D230" s="48"/>
      <c r="E230" s="48"/>
      <c r="F230" s="49"/>
      <c r="G230" s="48"/>
      <c r="H230" s="49"/>
      <c r="I230" s="48"/>
      <c r="J230" s="49"/>
    </row>
    <row r="231" spans="1:11" ht="12.75">
      <c r="A231" s="42"/>
      <c r="B231" s="80"/>
      <c r="C231" s="86"/>
      <c r="D231" s="48"/>
      <c r="E231" s="48"/>
      <c r="F231" s="49"/>
      <c r="G231" s="48"/>
      <c r="H231" s="49"/>
      <c r="I231" s="48"/>
      <c r="J231" s="49"/>
    </row>
    <row r="232" spans="1:11" ht="12.75">
      <c r="A232" s="42"/>
      <c r="B232" s="80"/>
      <c r="C232" s="86"/>
      <c r="D232" s="48"/>
      <c r="E232" s="48"/>
      <c r="F232" s="49"/>
      <c r="G232" s="48"/>
      <c r="H232" s="49"/>
      <c r="I232" s="48"/>
      <c r="J232" s="49"/>
    </row>
    <row r="233" spans="1:11" ht="12.75">
      <c r="A233" s="42"/>
      <c r="B233" s="80"/>
      <c r="C233" s="86"/>
      <c r="D233" s="48"/>
      <c r="E233" s="48"/>
      <c r="F233" s="49"/>
      <c r="G233" s="48"/>
      <c r="H233" s="49"/>
      <c r="I233" s="48"/>
      <c r="J233" s="49"/>
    </row>
    <row r="234" spans="1:11" ht="12.75">
      <c r="A234" s="42"/>
      <c r="B234" s="80"/>
      <c r="C234" s="86"/>
      <c r="D234" s="48"/>
      <c r="E234" s="48"/>
      <c r="F234" s="49"/>
      <c r="G234" s="48"/>
      <c r="H234" s="49"/>
      <c r="I234" s="48"/>
      <c r="J234" s="49"/>
    </row>
    <row r="235" spans="1:11" ht="12.75">
      <c r="A235" s="42"/>
      <c r="B235" s="80"/>
      <c r="C235" s="86"/>
      <c r="D235" s="48"/>
      <c r="E235" s="48"/>
      <c r="F235" s="49"/>
      <c r="G235" s="48"/>
      <c r="H235" s="49"/>
      <c r="I235" s="48"/>
      <c r="J235" s="49"/>
    </row>
    <row r="236" spans="1:11" ht="12.75">
      <c r="A236" s="42"/>
      <c r="B236" s="80"/>
      <c r="C236" s="86"/>
      <c r="D236" s="48"/>
      <c r="E236" s="48"/>
      <c r="F236" s="49"/>
      <c r="G236" s="48"/>
      <c r="H236" s="49"/>
      <c r="I236" s="48"/>
      <c r="J236" s="49"/>
    </row>
    <row r="237" spans="1:11" ht="12.75">
      <c r="A237" s="42"/>
      <c r="B237" s="80"/>
      <c r="C237" s="86"/>
      <c r="D237" s="48"/>
      <c r="E237" s="48"/>
      <c r="F237" s="49"/>
      <c r="G237" s="48"/>
      <c r="H237" s="49"/>
      <c r="I237" s="48"/>
      <c r="J237" s="49"/>
    </row>
    <row r="238" spans="1:11" ht="12.75">
      <c r="A238" s="42"/>
      <c r="B238" s="80"/>
      <c r="C238" s="86"/>
      <c r="D238" s="48"/>
      <c r="E238" s="48"/>
      <c r="F238" s="49"/>
      <c r="G238" s="48"/>
      <c r="H238" s="49"/>
      <c r="I238" s="48"/>
      <c r="J238" s="49"/>
    </row>
    <row r="239" spans="1:11" ht="12.75">
      <c r="A239" s="42"/>
      <c r="B239" s="80"/>
      <c r="C239" s="86"/>
      <c r="D239" s="48"/>
      <c r="E239" s="48"/>
      <c r="F239" s="49"/>
      <c r="G239" s="48"/>
      <c r="H239" s="49"/>
      <c r="I239" s="48"/>
      <c r="J239" s="49"/>
    </row>
    <row r="240" spans="1:11" ht="12.75">
      <c r="A240" s="42"/>
      <c r="B240" s="80"/>
      <c r="C240" s="86"/>
      <c r="D240" s="48"/>
      <c r="E240" s="48"/>
      <c r="F240" s="49"/>
      <c r="G240" s="48"/>
      <c r="H240" s="49"/>
      <c r="I240" s="48"/>
      <c r="J240" s="49"/>
    </row>
    <row r="241" spans="1:10" ht="12.75">
      <c r="A241" s="42" t="s">
        <v>203</v>
      </c>
      <c r="B241" s="80"/>
      <c r="C241" s="86"/>
      <c r="D241" s="48"/>
      <c r="E241" s="48"/>
      <c r="F241" s="49"/>
      <c r="G241" s="48"/>
      <c r="H241" s="49">
        <f>SUM(H212:H240)</f>
        <v>2360179</v>
      </c>
      <c r="I241" s="48"/>
      <c r="J241" s="49">
        <f>SUM(J212:J239)</f>
        <v>0</v>
      </c>
    </row>
    <row r="242" spans="1:10" ht="12.75">
      <c r="A242" s="43"/>
      <c r="B242" s="80"/>
      <c r="C242" s="86"/>
      <c r="D242" s="48"/>
      <c r="E242" s="48"/>
      <c r="F242" s="49"/>
      <c r="G242" s="48"/>
      <c r="H242" s="49"/>
      <c r="I242" s="48"/>
      <c r="J242" s="49"/>
    </row>
    <row r="243" spans="1:10" ht="12.75">
      <c r="A243" s="43"/>
      <c r="B243" s="84"/>
      <c r="C243" s="88"/>
      <c r="D243" s="54"/>
      <c r="E243" s="54"/>
      <c r="F243" s="55"/>
      <c r="G243" s="54"/>
      <c r="H243" s="55"/>
      <c r="I243" s="54"/>
      <c r="J243" s="55"/>
    </row>
    <row r="244" spans="1:10" ht="12.75"/>
    <row r="245" spans="1:10" ht="12.75"/>
    <row r="246" spans="1:10" ht="12.75">
      <c r="A246" s="41" t="s">
        <v>204</v>
      </c>
      <c r="B246" s="41"/>
      <c r="C246" s="41"/>
      <c r="D246" s="41"/>
      <c r="E246" s="41"/>
      <c r="F246" s="41"/>
    </row>
    <row r="247" spans="1:10" ht="12.75"/>
    <row r="248" spans="1:10" ht="12.75"/>
    <row r="249" spans="1:10" ht="12.75">
      <c r="A249" s="42" t="s">
        <v>188</v>
      </c>
      <c r="B249" s="42" t="s">
        <v>189</v>
      </c>
      <c r="C249" s="42"/>
      <c r="D249" s="42"/>
      <c r="E249" s="42"/>
      <c r="F249" s="42"/>
      <c r="G249" s="43" t="s">
        <v>113</v>
      </c>
      <c r="H249" s="42" t="s">
        <v>205</v>
      </c>
      <c r="I249" s="42" t="s">
        <v>208</v>
      </c>
      <c r="J249" s="43"/>
    </row>
    <row r="250" spans="1:10" ht="12.75">
      <c r="A250" s="42" t="s">
        <v>191</v>
      </c>
      <c r="B250" s="89">
        <v>45968</v>
      </c>
      <c r="C250" s="42"/>
      <c r="D250" s="42"/>
      <c r="E250" s="42"/>
      <c r="F250" s="42"/>
      <c r="G250" s="43"/>
      <c r="H250" s="42" t="s">
        <v>192</v>
      </c>
      <c r="I250" s="91" t="s">
        <v>137</v>
      </c>
      <c r="J250" s="43"/>
    </row>
    <row r="251" spans="1:10" ht="12.75">
      <c r="A251" s="42"/>
      <c r="B251" s="42"/>
      <c r="C251" s="42"/>
      <c r="D251" s="42"/>
      <c r="E251" s="42"/>
      <c r="F251" s="42"/>
      <c r="G251" s="43"/>
      <c r="H251" s="43"/>
      <c r="I251" s="43"/>
      <c r="J251" s="43"/>
    </row>
    <row r="252" spans="1:10" ht="12.75">
      <c r="A252" s="42"/>
      <c r="B252" s="44" t="s">
        <v>193</v>
      </c>
      <c r="C252" s="44" t="s">
        <v>194</v>
      </c>
      <c r="D252" s="44" t="s">
        <v>195</v>
      </c>
      <c r="E252" s="44" t="s">
        <v>196</v>
      </c>
      <c r="F252" s="44" t="s">
        <v>197</v>
      </c>
      <c r="G252" s="44" t="s">
        <v>198</v>
      </c>
      <c r="H252" s="44" t="s">
        <v>199</v>
      </c>
      <c r="I252" s="44" t="s">
        <v>200</v>
      </c>
      <c r="J252" s="44" t="s">
        <v>199</v>
      </c>
    </row>
    <row r="253" spans="1:10" ht="12.75">
      <c r="A253" s="42"/>
      <c r="B253" s="79"/>
      <c r="C253" s="85"/>
      <c r="D253" s="45"/>
      <c r="E253" s="45"/>
      <c r="F253" s="46"/>
      <c r="G253" s="45"/>
      <c r="H253" s="46"/>
      <c r="I253" s="45"/>
      <c r="J253" s="47"/>
    </row>
    <row r="254" spans="1:10" ht="12.75">
      <c r="B254" s="82">
        <v>1</v>
      </c>
      <c r="C254" s="60" t="s">
        <v>209</v>
      </c>
      <c r="D254" s="48" t="s">
        <v>202</v>
      </c>
      <c r="E254" s="48"/>
      <c r="F254" s="69">
        <v>45968</v>
      </c>
      <c r="G254" s="48" t="s">
        <v>113</v>
      </c>
      <c r="H254" s="49"/>
      <c r="I254" s="48" t="s">
        <v>139</v>
      </c>
      <c r="J254" s="49">
        <v>2360179</v>
      </c>
    </row>
    <row r="255" spans="1:10" ht="12.75">
      <c r="B255" s="82"/>
      <c r="C255" s="60"/>
      <c r="D255" s="48"/>
      <c r="E255" s="48"/>
      <c r="F255" s="49"/>
      <c r="G255" s="48"/>
      <c r="H255" s="49"/>
      <c r="I255" s="48"/>
      <c r="J255" s="49"/>
    </row>
    <row r="256" spans="1:10" ht="12.75">
      <c r="A256" s="42"/>
      <c r="B256" s="82"/>
      <c r="C256" s="60"/>
      <c r="D256" s="48"/>
      <c r="E256" s="48"/>
      <c r="F256" s="69"/>
      <c r="G256" s="48"/>
      <c r="H256" s="49"/>
      <c r="I256" s="48"/>
      <c r="J256" s="49"/>
    </row>
    <row r="257" spans="1:10" ht="12.75">
      <c r="A257" s="42"/>
      <c r="B257" s="82"/>
      <c r="C257" s="60"/>
      <c r="D257" s="48"/>
      <c r="E257" s="48"/>
      <c r="F257" s="49"/>
      <c r="G257" s="48"/>
      <c r="H257" s="49"/>
      <c r="I257" s="48"/>
      <c r="J257" s="49"/>
    </row>
    <row r="258" spans="1:10" ht="12.75">
      <c r="B258" s="82"/>
      <c r="C258" s="60"/>
      <c r="D258" s="48"/>
      <c r="E258" s="48"/>
      <c r="F258" s="69"/>
      <c r="G258" s="48"/>
      <c r="H258" s="49"/>
      <c r="I258" s="48"/>
      <c r="J258" s="49"/>
    </row>
    <row r="259" spans="1:10" ht="12.75">
      <c r="B259" s="82"/>
      <c r="C259" s="60"/>
      <c r="D259" s="48"/>
      <c r="E259" s="48"/>
      <c r="F259" s="49"/>
      <c r="G259" s="48"/>
      <c r="H259" s="49"/>
      <c r="I259" s="48"/>
      <c r="J259" s="49"/>
    </row>
    <row r="260" spans="1:10" ht="12.75">
      <c r="A260" s="42"/>
      <c r="B260" s="82"/>
      <c r="C260" s="60"/>
      <c r="D260" s="48"/>
      <c r="E260" s="48"/>
      <c r="F260" s="69"/>
      <c r="G260" s="48"/>
      <c r="H260" s="49"/>
      <c r="I260" s="48"/>
      <c r="J260" s="49"/>
    </row>
    <row r="261" spans="1:10" ht="12.75">
      <c r="A261" s="42"/>
      <c r="B261" s="80"/>
      <c r="C261" s="86"/>
      <c r="D261" s="48"/>
      <c r="E261" s="48"/>
      <c r="F261" s="49"/>
      <c r="G261" s="48"/>
      <c r="H261" s="49"/>
      <c r="I261" s="48"/>
      <c r="J261" s="49"/>
    </row>
    <row r="262" spans="1:10" ht="12.75">
      <c r="B262" s="80"/>
      <c r="C262" s="60"/>
      <c r="D262" s="48"/>
      <c r="E262" s="48"/>
      <c r="F262" s="69"/>
      <c r="G262" s="48"/>
      <c r="H262" s="49"/>
      <c r="I262" s="48"/>
      <c r="J262" s="49"/>
    </row>
    <row r="263" spans="1:10" ht="12.75">
      <c r="A263" s="42"/>
      <c r="B263" s="80"/>
      <c r="C263" s="86"/>
      <c r="D263" s="48"/>
      <c r="E263" s="48"/>
      <c r="F263" s="49"/>
      <c r="G263" s="48"/>
      <c r="H263" s="49"/>
      <c r="I263" s="48"/>
      <c r="J263" s="49"/>
    </row>
    <row r="264" spans="1:10" ht="12.75">
      <c r="A264" s="42"/>
      <c r="B264" s="80"/>
      <c r="C264" s="60"/>
      <c r="D264" s="48"/>
      <c r="E264" s="48"/>
      <c r="F264" s="69"/>
      <c r="G264" s="48"/>
      <c r="H264" s="49"/>
      <c r="I264" s="48"/>
      <c r="J264" s="49"/>
    </row>
    <row r="265" spans="1:10" ht="12.75">
      <c r="A265" s="42"/>
      <c r="B265" s="80"/>
      <c r="C265" s="86"/>
      <c r="D265" s="48"/>
      <c r="E265" s="48"/>
      <c r="F265" s="49"/>
      <c r="G265" s="48"/>
      <c r="H265" s="49"/>
      <c r="I265" s="48"/>
      <c r="J265" s="49"/>
    </row>
    <row r="266" spans="1:10" ht="12.75">
      <c r="A266" s="42"/>
      <c r="B266" s="80"/>
      <c r="C266" s="86"/>
      <c r="D266" s="48"/>
      <c r="E266" s="48"/>
      <c r="F266" s="49"/>
      <c r="G266" s="48"/>
      <c r="H266" s="49"/>
      <c r="I266" s="48"/>
      <c r="J266" s="49"/>
    </row>
    <row r="267" spans="1:10" ht="12.75">
      <c r="A267" s="42"/>
      <c r="B267" s="80"/>
      <c r="C267" s="86"/>
      <c r="D267" s="48"/>
      <c r="E267" s="48"/>
      <c r="F267" s="49"/>
      <c r="G267" s="48"/>
      <c r="H267" s="49"/>
      <c r="I267" s="48"/>
      <c r="J267" s="49"/>
    </row>
    <row r="268" spans="1:10" ht="12.75">
      <c r="A268" s="42"/>
      <c r="B268" s="80"/>
      <c r="C268" s="86"/>
      <c r="D268" s="48"/>
      <c r="E268" s="48"/>
      <c r="F268" s="49"/>
      <c r="G268" s="48"/>
      <c r="H268" s="49"/>
      <c r="I268" s="48"/>
      <c r="J268" s="49"/>
    </row>
    <row r="269" spans="1:10" ht="12.75">
      <c r="A269" s="42"/>
      <c r="B269" s="80"/>
      <c r="C269" s="86"/>
      <c r="D269" s="48"/>
      <c r="E269" s="48"/>
      <c r="F269" s="49"/>
      <c r="G269" s="48"/>
      <c r="H269" s="49"/>
      <c r="I269" s="48"/>
      <c r="J269" s="49"/>
    </row>
    <row r="270" spans="1:10" ht="12.75">
      <c r="A270" s="42"/>
      <c r="B270" s="80"/>
      <c r="C270" s="86"/>
      <c r="D270" s="48"/>
      <c r="E270" s="48"/>
      <c r="F270" s="49"/>
      <c r="G270" s="48"/>
      <c r="H270" s="49"/>
      <c r="I270" s="48"/>
      <c r="J270" s="49"/>
    </row>
    <row r="271" spans="1:10" ht="12.75">
      <c r="A271" s="42"/>
      <c r="B271" s="80"/>
      <c r="C271" s="86"/>
      <c r="D271" s="48"/>
      <c r="E271" s="48"/>
      <c r="F271" s="49"/>
      <c r="G271" s="48"/>
      <c r="H271" s="49"/>
      <c r="I271" s="48"/>
      <c r="J271" s="49"/>
    </row>
    <row r="272" spans="1:10" ht="12.75">
      <c r="A272" s="42"/>
      <c r="B272" s="80"/>
      <c r="C272" s="86"/>
      <c r="D272" s="48"/>
      <c r="E272" s="48"/>
      <c r="F272" s="49"/>
      <c r="G272" s="48"/>
      <c r="H272" s="49"/>
      <c r="I272" s="48"/>
      <c r="J272" s="49"/>
    </row>
    <row r="273" spans="1:10" ht="12.75">
      <c r="A273" s="42"/>
      <c r="B273" s="80"/>
      <c r="C273" s="86"/>
      <c r="D273" s="48"/>
      <c r="E273" s="48"/>
      <c r="F273" s="49"/>
      <c r="G273" s="48"/>
      <c r="H273" s="49"/>
      <c r="I273" s="48"/>
      <c r="J273" s="49"/>
    </row>
    <row r="274" spans="1:10" ht="12.75">
      <c r="A274" s="42"/>
      <c r="B274" s="80"/>
      <c r="C274" s="86"/>
      <c r="D274" s="48"/>
      <c r="E274" s="48"/>
      <c r="F274" s="49"/>
      <c r="G274" s="48"/>
      <c r="H274" s="49"/>
      <c r="I274" s="48"/>
      <c r="J274" s="49"/>
    </row>
    <row r="275" spans="1:10" ht="12.75">
      <c r="A275" s="42"/>
      <c r="B275" s="80"/>
      <c r="C275" s="86"/>
      <c r="D275" s="48"/>
      <c r="E275" s="48"/>
      <c r="F275" s="49"/>
      <c r="G275" s="48"/>
      <c r="H275" s="49"/>
      <c r="I275" s="48"/>
      <c r="J275" s="49"/>
    </row>
    <row r="276" spans="1:10" ht="12.75">
      <c r="A276" s="42"/>
      <c r="B276" s="80"/>
      <c r="C276" s="86"/>
      <c r="D276" s="48"/>
      <c r="E276" s="48"/>
      <c r="F276" s="49"/>
      <c r="G276" s="48"/>
      <c r="H276" s="49"/>
      <c r="I276" s="48"/>
      <c r="J276" s="49"/>
    </row>
    <row r="277" spans="1:10" ht="12.75">
      <c r="A277" s="42"/>
      <c r="B277" s="80"/>
      <c r="C277" s="86"/>
      <c r="D277" s="48"/>
      <c r="E277" s="48"/>
      <c r="F277" s="49"/>
      <c r="G277" s="48"/>
      <c r="H277" s="49"/>
      <c r="I277" s="48"/>
      <c r="J277" s="49"/>
    </row>
    <row r="278" spans="1:10" ht="12.75">
      <c r="A278" s="42"/>
      <c r="B278" s="80"/>
      <c r="C278" s="86"/>
      <c r="D278" s="48"/>
      <c r="E278" s="48"/>
      <c r="F278" s="49"/>
      <c r="G278" s="48"/>
      <c r="H278" s="49"/>
      <c r="I278" s="48"/>
      <c r="J278" s="49"/>
    </row>
    <row r="279" spans="1:10" ht="12.75">
      <c r="A279" s="42"/>
      <c r="B279" s="80"/>
      <c r="C279" s="86"/>
      <c r="D279" s="48"/>
      <c r="E279" s="48"/>
      <c r="F279" s="49"/>
      <c r="G279" s="48"/>
      <c r="H279" s="49"/>
      <c r="I279" s="48"/>
      <c r="J279" s="49"/>
    </row>
    <row r="280" spans="1:10" ht="12.75">
      <c r="A280" s="42" t="s">
        <v>207</v>
      </c>
      <c r="B280" s="80"/>
      <c r="C280" s="86"/>
      <c r="D280" s="48"/>
      <c r="E280" s="48"/>
      <c r="F280" s="49"/>
      <c r="G280" s="48"/>
      <c r="H280" s="49"/>
      <c r="I280" s="48"/>
      <c r="J280" s="49">
        <f>SUM(J254:J279)</f>
        <v>2360179</v>
      </c>
    </row>
    <row r="281" spans="1:10" ht="12.75">
      <c r="A281" s="43"/>
      <c r="B281" s="80"/>
      <c r="C281" s="86"/>
      <c r="D281" s="48"/>
      <c r="E281" s="48"/>
      <c r="F281" s="49"/>
      <c r="G281" s="48"/>
      <c r="H281" s="49"/>
      <c r="I281" s="48"/>
      <c r="J281" s="49"/>
    </row>
    <row r="282" spans="1:10" ht="12.75">
      <c r="A282" s="43"/>
      <c r="B282" s="84"/>
      <c r="C282" s="88"/>
      <c r="D282" s="54"/>
      <c r="E282" s="54"/>
      <c r="F282" s="55"/>
      <c r="G282" s="54"/>
      <c r="H282" s="55"/>
      <c r="I282" s="54"/>
      <c r="J282" s="55"/>
    </row>
    <row r="283" spans="1:10" ht="12.75"/>
    <row r="284" spans="1:10" ht="12.75"/>
    <row r="285" spans="1:10" ht="12.75">
      <c r="A285" s="41" t="s">
        <v>204</v>
      </c>
      <c r="B285" s="41"/>
      <c r="C285" s="41"/>
      <c r="D285" s="41"/>
      <c r="E285" s="41"/>
      <c r="F285" s="41"/>
    </row>
    <row r="286" spans="1:10" ht="12.75"/>
    <row r="287" spans="1:10" ht="12.75"/>
    <row r="288" spans="1:10" ht="12.75">
      <c r="A288" s="42" t="s">
        <v>188</v>
      </c>
      <c r="B288" s="42" t="s">
        <v>189</v>
      </c>
      <c r="C288" s="42"/>
      <c r="D288" s="42"/>
      <c r="E288" s="42"/>
      <c r="F288" s="42"/>
      <c r="G288" s="43" t="s">
        <v>113</v>
      </c>
      <c r="H288" s="42" t="s">
        <v>205</v>
      </c>
      <c r="I288" s="42" t="s">
        <v>210</v>
      </c>
      <c r="J288" s="43"/>
    </row>
    <row r="289" spans="1:10" ht="12.75">
      <c r="A289" s="42" t="s">
        <v>191</v>
      </c>
      <c r="B289" s="89">
        <v>45968</v>
      </c>
      <c r="C289" s="42"/>
      <c r="D289" s="42"/>
      <c r="E289" s="42"/>
      <c r="F289" s="42"/>
      <c r="G289" s="43"/>
      <c r="H289" s="42" t="s">
        <v>192</v>
      </c>
      <c r="I289" s="91" t="s">
        <v>154</v>
      </c>
      <c r="J289" s="43"/>
    </row>
    <row r="290" spans="1:10" ht="12.75">
      <c r="A290" s="42"/>
      <c r="B290" s="42"/>
      <c r="C290" s="42"/>
      <c r="D290" s="42"/>
      <c r="E290" s="42"/>
      <c r="F290" s="42"/>
      <c r="G290" s="43"/>
      <c r="H290" s="43"/>
      <c r="I290" s="43"/>
      <c r="J290" s="43"/>
    </row>
    <row r="291" spans="1:10" ht="12.75">
      <c r="A291" s="42"/>
      <c r="B291" s="44" t="s">
        <v>193</v>
      </c>
      <c r="C291" s="44" t="s">
        <v>194</v>
      </c>
      <c r="D291" s="44" t="s">
        <v>195</v>
      </c>
      <c r="E291" s="44" t="s">
        <v>196</v>
      </c>
      <c r="F291" s="44" t="s">
        <v>197</v>
      </c>
      <c r="G291" s="44" t="s">
        <v>198</v>
      </c>
      <c r="H291" s="44" t="s">
        <v>199</v>
      </c>
      <c r="I291" s="44" t="s">
        <v>200</v>
      </c>
      <c r="J291" s="44" t="s">
        <v>199</v>
      </c>
    </row>
    <row r="292" spans="1:10" ht="12.75">
      <c r="A292" s="42"/>
      <c r="B292" s="79"/>
      <c r="C292" s="85"/>
      <c r="D292" s="45"/>
      <c r="E292" s="45"/>
      <c r="F292" s="46"/>
      <c r="G292" s="45"/>
      <c r="H292" s="46"/>
      <c r="I292" s="45"/>
      <c r="J292" s="47"/>
    </row>
    <row r="293" spans="1:10" ht="12.75">
      <c r="B293" s="82">
        <v>1</v>
      </c>
      <c r="C293" s="60" t="s">
        <v>209</v>
      </c>
      <c r="D293" s="48" t="s">
        <v>202</v>
      </c>
      <c r="E293" s="48"/>
      <c r="F293" s="69">
        <v>45968</v>
      </c>
      <c r="G293" s="48" t="s">
        <v>113</v>
      </c>
      <c r="H293" s="49"/>
      <c r="I293" s="48" t="s">
        <v>139</v>
      </c>
      <c r="J293" s="49">
        <v>337166</v>
      </c>
    </row>
    <row r="294" spans="1:10" ht="12.75">
      <c r="B294" s="82"/>
      <c r="C294" s="60"/>
      <c r="D294" s="48"/>
      <c r="E294" s="48"/>
      <c r="F294" s="49"/>
      <c r="G294" s="48"/>
      <c r="H294" s="49"/>
      <c r="I294" s="48"/>
      <c r="J294" s="49"/>
    </row>
    <row r="295" spans="1:10" ht="12.75">
      <c r="A295" s="42"/>
      <c r="B295" s="82"/>
      <c r="C295" s="60"/>
      <c r="D295" s="48"/>
      <c r="E295" s="48"/>
      <c r="F295" s="69"/>
      <c r="G295" s="48"/>
      <c r="H295" s="49"/>
      <c r="I295" s="48" t="s">
        <v>113</v>
      </c>
      <c r="J295" s="49" t="s">
        <v>113</v>
      </c>
    </row>
    <row r="296" spans="1:10" ht="12.75">
      <c r="A296" s="42"/>
      <c r="B296" s="82"/>
      <c r="C296" s="60"/>
      <c r="D296" s="48"/>
      <c r="E296" s="48"/>
      <c r="F296" s="49"/>
      <c r="G296" s="48"/>
      <c r="H296" s="49"/>
      <c r="I296" s="48"/>
      <c r="J296" s="49"/>
    </row>
    <row r="297" spans="1:10" ht="12.75">
      <c r="B297" s="82"/>
      <c r="C297" s="60"/>
      <c r="D297" s="48"/>
      <c r="E297" s="48"/>
      <c r="F297" s="69"/>
      <c r="G297" s="48"/>
      <c r="H297" s="49"/>
      <c r="I297" s="48"/>
      <c r="J297" s="49"/>
    </row>
    <row r="298" spans="1:10" ht="12.75">
      <c r="B298" s="82"/>
      <c r="C298" s="60"/>
      <c r="D298" s="48"/>
      <c r="E298" s="48"/>
      <c r="F298" s="49"/>
      <c r="G298" s="48"/>
      <c r="H298" s="49"/>
      <c r="I298" s="48"/>
      <c r="J298" s="49"/>
    </row>
    <row r="299" spans="1:10" ht="12.75">
      <c r="A299" s="42"/>
      <c r="B299" s="82"/>
      <c r="C299" s="60"/>
      <c r="D299" s="48"/>
      <c r="E299" s="48"/>
      <c r="F299" s="69"/>
      <c r="G299" s="48"/>
      <c r="H299" s="49"/>
      <c r="I299" s="48"/>
      <c r="J299" s="49"/>
    </row>
    <row r="300" spans="1:10" ht="12.75">
      <c r="A300" s="42"/>
      <c r="B300" s="80"/>
      <c r="C300" s="86"/>
      <c r="D300" s="48"/>
      <c r="E300" s="48"/>
      <c r="F300" s="49"/>
      <c r="G300" s="48"/>
      <c r="H300" s="49"/>
      <c r="I300" s="48"/>
      <c r="J300" s="49"/>
    </row>
    <row r="301" spans="1:10" ht="12.75">
      <c r="B301" s="80"/>
      <c r="C301" s="60"/>
      <c r="D301" s="48"/>
      <c r="E301" s="48"/>
      <c r="F301" s="69"/>
      <c r="G301" s="48"/>
      <c r="H301" s="49"/>
      <c r="I301" s="48"/>
      <c r="J301" s="49"/>
    </row>
    <row r="302" spans="1:10" ht="12.75">
      <c r="A302" s="42"/>
      <c r="B302" s="80"/>
      <c r="C302" s="86"/>
      <c r="D302" s="48"/>
      <c r="E302" s="48"/>
      <c r="F302" s="49"/>
      <c r="G302" s="48"/>
      <c r="H302" s="49"/>
      <c r="I302" s="48"/>
      <c r="J302" s="49"/>
    </row>
    <row r="303" spans="1:10" ht="12.75">
      <c r="A303" s="42"/>
      <c r="B303" s="80"/>
      <c r="C303" s="60"/>
      <c r="D303" s="48"/>
      <c r="E303" s="48"/>
      <c r="F303" s="69"/>
      <c r="G303" s="48"/>
      <c r="H303" s="49"/>
      <c r="I303" s="48"/>
      <c r="J303" s="49"/>
    </row>
    <row r="304" spans="1:10" ht="12.75">
      <c r="A304" s="42"/>
      <c r="B304" s="80"/>
      <c r="C304" s="86"/>
      <c r="D304" s="48"/>
      <c r="E304" s="48"/>
      <c r="F304" s="49"/>
      <c r="G304" s="48"/>
      <c r="H304" s="49"/>
      <c r="I304" s="48"/>
      <c r="J304" s="49"/>
    </row>
    <row r="305" spans="1:10" ht="12.75">
      <c r="A305" s="42"/>
      <c r="B305" s="80"/>
      <c r="C305" s="86"/>
      <c r="D305" s="48"/>
      <c r="E305" s="48"/>
      <c r="F305" s="49"/>
      <c r="G305" s="48"/>
      <c r="H305" s="49"/>
      <c r="I305" s="48"/>
      <c r="J305" s="49"/>
    </row>
    <row r="306" spans="1:10" ht="12.75">
      <c r="A306" s="42"/>
      <c r="B306" s="80"/>
      <c r="C306" s="86"/>
      <c r="D306" s="48"/>
      <c r="E306" s="48"/>
      <c r="F306" s="49"/>
      <c r="G306" s="48"/>
      <c r="H306" s="49"/>
      <c r="I306" s="48"/>
      <c r="J306" s="49"/>
    </row>
    <row r="307" spans="1:10" ht="12.75">
      <c r="A307" s="42"/>
      <c r="B307" s="80"/>
      <c r="C307" s="86"/>
      <c r="D307" s="48"/>
      <c r="E307" s="48"/>
      <c r="F307" s="49"/>
      <c r="G307" s="48"/>
      <c r="H307" s="49"/>
      <c r="I307" s="48"/>
      <c r="J307" s="49"/>
    </row>
    <row r="308" spans="1:10" ht="12.75">
      <c r="A308" s="42"/>
      <c r="B308" s="80"/>
      <c r="C308" s="86"/>
      <c r="D308" s="48"/>
      <c r="E308" s="48"/>
      <c r="F308" s="49"/>
      <c r="G308" s="48"/>
      <c r="H308" s="49"/>
      <c r="I308" s="48"/>
      <c r="J308" s="49"/>
    </row>
    <row r="309" spans="1:10" ht="12.75">
      <c r="A309" s="42"/>
      <c r="B309" s="80"/>
      <c r="C309" s="86"/>
      <c r="D309" s="48"/>
      <c r="E309" s="48"/>
      <c r="F309" s="49"/>
      <c r="G309" s="48"/>
      <c r="H309" s="49"/>
      <c r="I309" s="48"/>
      <c r="J309" s="49"/>
    </row>
    <row r="310" spans="1:10" ht="12.75">
      <c r="A310" s="42"/>
      <c r="B310" s="80"/>
      <c r="C310" s="86"/>
      <c r="D310" s="48"/>
      <c r="E310" s="48"/>
      <c r="F310" s="49"/>
      <c r="G310" s="48"/>
      <c r="H310" s="49"/>
      <c r="I310" s="48"/>
      <c r="J310" s="49"/>
    </row>
    <row r="311" spans="1:10" ht="12.75">
      <c r="A311" s="42"/>
      <c r="B311" s="80"/>
      <c r="C311" s="86"/>
      <c r="D311" s="48"/>
      <c r="E311" s="48"/>
      <c r="F311" s="49"/>
      <c r="G311" s="48"/>
      <c r="H311" s="49"/>
      <c r="I311" s="48"/>
      <c r="J311" s="49"/>
    </row>
    <row r="312" spans="1:10" ht="12.75">
      <c r="A312" s="42"/>
      <c r="B312" s="80"/>
      <c r="C312" s="86"/>
      <c r="D312" s="48"/>
      <c r="E312" s="48"/>
      <c r="F312" s="49"/>
      <c r="G312" s="48"/>
      <c r="H312" s="49"/>
      <c r="I312" s="48"/>
      <c r="J312" s="49"/>
    </row>
    <row r="313" spans="1:10" ht="12.75">
      <c r="A313" s="42"/>
      <c r="B313" s="80"/>
      <c r="C313" s="86"/>
      <c r="D313" s="48"/>
      <c r="E313" s="48"/>
      <c r="F313" s="49"/>
      <c r="G313" s="48"/>
      <c r="H313" s="49"/>
      <c r="I313" s="48"/>
      <c r="J313" s="49"/>
    </row>
    <row r="314" spans="1:10" ht="12.75">
      <c r="A314" s="42"/>
      <c r="B314" s="80"/>
      <c r="C314" s="86"/>
      <c r="D314" s="48"/>
      <c r="E314" s="48"/>
      <c r="F314" s="49"/>
      <c r="G314" s="48"/>
      <c r="H314" s="49"/>
      <c r="I314" s="48"/>
      <c r="J314" s="49"/>
    </row>
    <row r="315" spans="1:10" ht="12.75">
      <c r="A315" s="42"/>
      <c r="B315" s="80"/>
      <c r="C315" s="86"/>
      <c r="D315" s="48"/>
      <c r="E315" s="48"/>
      <c r="F315" s="49"/>
      <c r="G315" s="48"/>
      <c r="H315" s="49"/>
      <c r="I315" s="48"/>
      <c r="J315" s="49"/>
    </row>
    <row r="316" spans="1:10" ht="12.75">
      <c r="A316" s="42"/>
      <c r="B316" s="80"/>
      <c r="C316" s="86"/>
      <c r="D316" s="48"/>
      <c r="E316" s="48"/>
      <c r="F316" s="49"/>
      <c r="G316" s="48"/>
      <c r="H316" s="49"/>
      <c r="I316" s="48"/>
      <c r="J316" s="49"/>
    </row>
    <row r="317" spans="1:10" ht="12.75">
      <c r="A317" s="42"/>
      <c r="B317" s="80"/>
      <c r="C317" s="86"/>
      <c r="D317" s="48"/>
      <c r="E317" s="48"/>
      <c r="F317" s="49"/>
      <c r="G317" s="48"/>
      <c r="H317" s="49"/>
      <c r="I317" s="48"/>
      <c r="J317" s="49"/>
    </row>
    <row r="318" spans="1:10" ht="12.75">
      <c r="A318" s="42"/>
      <c r="B318" s="80"/>
      <c r="C318" s="86"/>
      <c r="D318" s="48"/>
      <c r="E318" s="48"/>
      <c r="F318" s="49"/>
      <c r="G318" s="48"/>
      <c r="H318" s="49"/>
      <c r="I318" s="48"/>
      <c r="J318" s="49"/>
    </row>
    <row r="319" spans="1:10" ht="12.75">
      <c r="A319" s="42" t="s">
        <v>207</v>
      </c>
      <c r="B319" s="80"/>
      <c r="C319" s="86"/>
      <c r="D319" s="48"/>
      <c r="E319" s="48"/>
      <c r="F319" s="49"/>
      <c r="G319" s="48"/>
      <c r="H319" s="49">
        <f>SUM(H293:H318)</f>
        <v>0</v>
      </c>
      <c r="I319" s="48"/>
      <c r="J319" s="49">
        <f>SUM(J293:J318)</f>
        <v>337166</v>
      </c>
    </row>
    <row r="320" spans="1:10" ht="12.75">
      <c r="A320" s="43"/>
      <c r="B320" s="80"/>
      <c r="C320" s="86"/>
      <c r="D320" s="48"/>
      <c r="E320" s="48"/>
      <c r="F320" s="49"/>
      <c r="G320" s="48"/>
      <c r="H320" s="49"/>
      <c r="I320" s="48"/>
      <c r="J320" s="49"/>
    </row>
    <row r="321" spans="1:10" ht="12.75">
      <c r="A321" s="43"/>
      <c r="B321" s="84"/>
      <c r="C321" s="88"/>
      <c r="D321" s="54"/>
      <c r="E321" s="54"/>
      <c r="F321" s="55"/>
      <c r="G321" s="54"/>
      <c r="H321" s="55"/>
      <c r="I321" s="54"/>
      <c r="J321" s="55"/>
    </row>
    <row r="322" spans="1:10" ht="12.75"/>
    <row r="323" spans="1:10" ht="12.75"/>
    <row r="324" spans="1:10" ht="12.75"/>
    <row r="325" spans="1:10" ht="12.75">
      <c r="A325" s="41" t="s">
        <v>187</v>
      </c>
      <c r="B325" s="41"/>
      <c r="C325" s="41"/>
      <c r="D325" s="41"/>
      <c r="E325" s="41"/>
      <c r="F325" s="41"/>
    </row>
    <row r="326" spans="1:10" ht="12.75">
      <c r="F326" s="68" t="s">
        <v>113</v>
      </c>
    </row>
    <row r="327" spans="1:10" ht="12.75"/>
    <row r="328" spans="1:10" ht="12.75">
      <c r="A328" s="42" t="s">
        <v>188</v>
      </c>
      <c r="B328" s="42" t="s">
        <v>189</v>
      </c>
      <c r="C328" s="42"/>
      <c r="D328" s="42"/>
      <c r="E328" s="42"/>
      <c r="F328" s="42"/>
      <c r="G328" s="43" t="s">
        <v>113</v>
      </c>
      <c r="H328" s="42" t="s">
        <v>175</v>
      </c>
      <c r="I328" s="90" t="s">
        <v>190</v>
      </c>
      <c r="J328" s="43"/>
    </row>
    <row r="329" spans="1:10" ht="12.75">
      <c r="A329" s="42" t="s">
        <v>191</v>
      </c>
      <c r="B329" s="89">
        <v>45971</v>
      </c>
      <c r="C329" s="42"/>
      <c r="D329" s="42"/>
      <c r="E329" s="42"/>
      <c r="F329" s="42"/>
      <c r="G329" s="43"/>
      <c r="H329" s="42" t="s">
        <v>192</v>
      </c>
      <c r="I329" s="91" t="s">
        <v>109</v>
      </c>
      <c r="J329" s="43"/>
    </row>
    <row r="330" spans="1:10" ht="12.75">
      <c r="A330" s="42"/>
      <c r="B330" s="42"/>
      <c r="C330" s="42"/>
      <c r="D330" s="42"/>
      <c r="E330" s="42"/>
      <c r="F330" s="42"/>
      <c r="G330" s="43"/>
      <c r="H330" s="43"/>
      <c r="I330" s="43"/>
      <c r="J330" s="43"/>
    </row>
    <row r="331" spans="1:10" ht="12.75">
      <c r="A331" s="42"/>
      <c r="B331" s="44" t="s">
        <v>193</v>
      </c>
      <c r="C331" s="44" t="s">
        <v>194</v>
      </c>
      <c r="D331" s="44" t="s">
        <v>195</v>
      </c>
      <c r="E331" s="44" t="s">
        <v>196</v>
      </c>
      <c r="F331" s="44" t="s">
        <v>197</v>
      </c>
      <c r="G331" s="44" t="s">
        <v>198</v>
      </c>
      <c r="H331" s="44" t="s">
        <v>199</v>
      </c>
      <c r="I331" s="44" t="s">
        <v>200</v>
      </c>
      <c r="J331" s="44" t="s">
        <v>199</v>
      </c>
    </row>
    <row r="332" spans="1:10" ht="12.75">
      <c r="A332" s="42"/>
      <c r="B332" s="79"/>
      <c r="C332" s="85"/>
      <c r="D332" s="45"/>
      <c r="E332" s="45"/>
      <c r="F332" s="46"/>
      <c r="G332" s="45"/>
      <c r="H332" s="46"/>
      <c r="I332" s="45"/>
      <c r="J332" s="47"/>
    </row>
    <row r="333" spans="1:10" ht="12.75">
      <c r="B333" s="80">
        <v>1</v>
      </c>
      <c r="C333" s="86" t="s">
        <v>201</v>
      </c>
      <c r="D333" s="48" t="s">
        <v>202</v>
      </c>
      <c r="E333" s="48"/>
      <c r="F333" s="69">
        <v>45971</v>
      </c>
      <c r="G333" s="48" t="s">
        <v>125</v>
      </c>
      <c r="H333" s="49">
        <v>283203</v>
      </c>
      <c r="I333" s="48" t="s">
        <v>113</v>
      </c>
      <c r="J333" s="49" t="s">
        <v>113</v>
      </c>
    </row>
    <row r="334" spans="1:10" ht="12.75">
      <c r="A334" s="42"/>
      <c r="B334" s="80"/>
      <c r="C334" s="86"/>
      <c r="D334" s="48"/>
      <c r="E334" s="48"/>
      <c r="F334" s="49"/>
      <c r="G334" s="48"/>
      <c r="H334" s="49"/>
      <c r="I334" s="48"/>
      <c r="J334" s="49"/>
    </row>
    <row r="335" spans="1:10" ht="12.75">
      <c r="B335" s="81"/>
      <c r="C335" s="59"/>
      <c r="D335" s="48"/>
      <c r="E335" s="48"/>
      <c r="F335" s="69"/>
      <c r="G335" s="48"/>
      <c r="H335" s="49"/>
      <c r="I335" s="48"/>
      <c r="J335" s="49"/>
    </row>
    <row r="336" spans="1:10" ht="12.75">
      <c r="B336" s="81"/>
      <c r="C336" s="59"/>
      <c r="D336" s="48"/>
      <c r="E336" s="48"/>
      <c r="F336" s="49"/>
      <c r="G336" s="48"/>
      <c r="H336" s="49"/>
      <c r="I336" s="48"/>
      <c r="J336" s="49"/>
    </row>
    <row r="337" spans="1:11" ht="12.75">
      <c r="A337" s="42"/>
      <c r="B337" s="81"/>
      <c r="C337" s="104"/>
      <c r="D337" s="48"/>
      <c r="E337" s="48"/>
      <c r="F337" s="69"/>
      <c r="G337" s="48"/>
      <c r="H337" s="49"/>
      <c r="I337" s="48"/>
      <c r="J337" s="49"/>
    </row>
    <row r="338" spans="1:11" ht="12.75">
      <c r="A338" s="42"/>
      <c r="B338" s="81"/>
      <c r="C338" s="59"/>
      <c r="D338" s="48"/>
      <c r="E338" s="48"/>
      <c r="F338" s="49"/>
      <c r="G338" s="48"/>
      <c r="H338" s="49"/>
      <c r="I338" s="48"/>
      <c r="J338" s="49"/>
    </row>
    <row r="339" spans="1:11" ht="12.75">
      <c r="A339" s="42"/>
      <c r="B339" s="82"/>
      <c r="C339" s="60"/>
      <c r="D339" s="48"/>
      <c r="E339" s="48"/>
      <c r="F339" s="69"/>
      <c r="G339" s="48"/>
      <c r="H339" s="49"/>
      <c r="I339" s="48"/>
      <c r="J339" s="49"/>
    </row>
    <row r="340" spans="1:11" ht="12.75">
      <c r="B340" s="80"/>
      <c r="C340" s="86"/>
      <c r="D340" s="48"/>
      <c r="E340" s="48"/>
      <c r="F340" s="49"/>
      <c r="G340" s="48"/>
      <c r="H340" s="49"/>
      <c r="I340" s="48"/>
      <c r="J340" s="49"/>
    </row>
    <row r="341" spans="1:11" ht="12.75">
      <c r="A341" s="42"/>
      <c r="B341" s="80"/>
      <c r="C341" s="86"/>
      <c r="D341" s="48"/>
      <c r="E341" s="48"/>
      <c r="F341" s="49"/>
      <c r="G341" s="48"/>
      <c r="H341" s="49"/>
      <c r="I341" s="48"/>
      <c r="J341" s="49"/>
    </row>
    <row r="342" spans="1:11" ht="12.75">
      <c r="A342" s="42"/>
      <c r="B342" s="80"/>
      <c r="C342" s="86"/>
      <c r="D342" s="48"/>
      <c r="E342" s="48"/>
      <c r="F342" s="49"/>
      <c r="G342" s="48"/>
      <c r="H342" s="49"/>
      <c r="I342" s="48"/>
      <c r="J342" s="49"/>
    </row>
    <row r="343" spans="1:11" ht="12.75">
      <c r="A343" s="42"/>
      <c r="B343" s="80"/>
      <c r="C343" s="86"/>
      <c r="D343" s="48"/>
      <c r="E343" s="48"/>
      <c r="F343" s="49"/>
      <c r="G343" s="48"/>
      <c r="H343" s="49"/>
      <c r="I343" s="48"/>
      <c r="J343" s="49"/>
    </row>
    <row r="344" spans="1:11" ht="12.75">
      <c r="A344" s="42"/>
      <c r="B344" s="80"/>
      <c r="C344" s="86"/>
      <c r="D344" s="48"/>
      <c r="E344" s="48"/>
      <c r="F344" s="49"/>
      <c r="G344" s="48"/>
      <c r="H344" s="49"/>
      <c r="I344" s="48"/>
      <c r="J344" s="49"/>
    </row>
    <row r="345" spans="1:11" ht="12.75">
      <c r="A345" s="42"/>
      <c r="B345" s="80"/>
      <c r="C345" s="86"/>
      <c r="D345" s="48"/>
      <c r="E345" s="48"/>
      <c r="F345" s="49"/>
      <c r="G345" s="48"/>
      <c r="H345" s="49"/>
      <c r="I345" s="48"/>
      <c r="J345" s="49"/>
    </row>
    <row r="346" spans="1:11" ht="12.75">
      <c r="A346" s="50"/>
      <c r="B346" s="83"/>
      <c r="C346" s="87"/>
      <c r="D346" s="51"/>
      <c r="E346" s="51"/>
      <c r="F346" s="52"/>
      <c r="G346" s="51"/>
      <c r="H346" s="52"/>
      <c r="I346" s="51"/>
      <c r="J346" s="52"/>
      <c r="K346" s="53"/>
    </row>
    <row r="347" spans="1:11" ht="12.75">
      <c r="A347" s="42"/>
      <c r="B347" s="80"/>
      <c r="C347" s="86"/>
      <c r="D347" s="48"/>
      <c r="E347" s="48"/>
      <c r="F347" s="49"/>
      <c r="G347" s="48"/>
      <c r="H347" s="49"/>
      <c r="I347" s="48"/>
      <c r="J347" s="49"/>
    </row>
    <row r="348" spans="1:11" ht="12.75">
      <c r="A348" s="42"/>
      <c r="B348" s="80"/>
      <c r="C348" s="86"/>
      <c r="D348" s="48"/>
      <c r="E348" s="48"/>
      <c r="F348" s="49"/>
      <c r="G348" s="48"/>
      <c r="H348" s="49"/>
      <c r="I348" s="48"/>
      <c r="J348" s="49"/>
    </row>
    <row r="349" spans="1:11" ht="12.75">
      <c r="A349" s="42"/>
      <c r="B349" s="80"/>
      <c r="C349" s="86"/>
      <c r="D349" s="48"/>
      <c r="E349" s="48"/>
      <c r="F349" s="49"/>
      <c r="G349" s="48"/>
      <c r="H349" s="49"/>
      <c r="I349" s="48"/>
      <c r="J349" s="49"/>
    </row>
    <row r="350" spans="1:11" ht="12.75">
      <c r="A350" s="42"/>
      <c r="B350" s="80"/>
      <c r="C350" s="86"/>
      <c r="D350" s="48"/>
      <c r="E350" s="48"/>
      <c r="F350" s="49"/>
      <c r="G350" s="48"/>
      <c r="H350" s="49"/>
      <c r="I350" s="48"/>
      <c r="J350" s="49"/>
    </row>
    <row r="351" spans="1:11" ht="12.75">
      <c r="A351" s="42"/>
      <c r="B351" s="80"/>
      <c r="C351" s="86"/>
      <c r="D351" s="48"/>
      <c r="E351" s="48"/>
      <c r="F351" s="49"/>
      <c r="G351" s="48"/>
      <c r="H351" s="49"/>
      <c r="I351" s="48"/>
      <c r="J351" s="49"/>
    </row>
    <row r="352" spans="1:11" ht="12.75">
      <c r="A352" s="42"/>
      <c r="B352" s="80"/>
      <c r="C352" s="86"/>
      <c r="D352" s="48"/>
      <c r="E352" s="48"/>
      <c r="F352" s="49"/>
      <c r="G352" s="48"/>
      <c r="H352" s="49"/>
      <c r="I352" s="48"/>
      <c r="J352" s="49"/>
    </row>
    <row r="353" spans="1:10" ht="12.75">
      <c r="A353" s="42"/>
      <c r="B353" s="80"/>
      <c r="C353" s="86"/>
      <c r="D353" s="48"/>
      <c r="E353" s="48"/>
      <c r="F353" s="49"/>
      <c r="G353" s="48"/>
      <c r="H353" s="49"/>
      <c r="I353" s="48"/>
      <c r="J353" s="49"/>
    </row>
    <row r="354" spans="1:10" ht="12.75">
      <c r="A354" s="42"/>
      <c r="B354" s="80"/>
      <c r="C354" s="86"/>
      <c r="D354" s="48"/>
      <c r="E354" s="48"/>
      <c r="F354" s="49"/>
      <c r="G354" s="48"/>
      <c r="H354" s="49"/>
      <c r="I354" s="48"/>
      <c r="J354" s="49"/>
    </row>
    <row r="355" spans="1:10" ht="12.75">
      <c r="A355" s="42"/>
      <c r="B355" s="80"/>
      <c r="C355" s="86"/>
      <c r="D355" s="48"/>
      <c r="E355" s="48"/>
      <c r="F355" s="49"/>
      <c r="G355" s="48"/>
      <c r="H355" s="49"/>
      <c r="I355" s="48"/>
      <c r="J355" s="49"/>
    </row>
    <row r="356" spans="1:10" ht="12.75">
      <c r="A356" s="42"/>
      <c r="B356" s="80"/>
      <c r="C356" s="86"/>
      <c r="D356" s="48"/>
      <c r="E356" s="48"/>
      <c r="F356" s="49"/>
      <c r="G356" s="48"/>
      <c r="H356" s="49"/>
      <c r="I356" s="48"/>
      <c r="J356" s="49"/>
    </row>
    <row r="357" spans="1:10" ht="12.75">
      <c r="A357" s="42"/>
      <c r="B357" s="80"/>
      <c r="C357" s="86"/>
      <c r="D357" s="48"/>
      <c r="E357" s="48"/>
      <c r="F357" s="49"/>
      <c r="G357" s="48"/>
      <c r="H357" s="49"/>
      <c r="I357" s="48"/>
      <c r="J357" s="49"/>
    </row>
    <row r="358" spans="1:10" ht="12.75">
      <c r="A358" s="42"/>
      <c r="B358" s="80"/>
      <c r="C358" s="86"/>
      <c r="D358" s="48"/>
      <c r="E358" s="48"/>
      <c r="F358" s="49"/>
      <c r="G358" s="48"/>
      <c r="H358" s="49"/>
      <c r="I358" s="48"/>
      <c r="J358" s="49"/>
    </row>
    <row r="359" spans="1:10" ht="12.75">
      <c r="A359" s="42"/>
      <c r="B359" s="80"/>
      <c r="C359" s="86"/>
      <c r="D359" s="48"/>
      <c r="E359" s="48"/>
      <c r="F359" s="49"/>
      <c r="G359" s="48"/>
      <c r="H359" s="49"/>
      <c r="I359" s="48"/>
      <c r="J359" s="49"/>
    </row>
    <row r="360" spans="1:10" ht="12.75">
      <c r="A360" s="42"/>
      <c r="B360" s="80"/>
      <c r="C360" s="86"/>
      <c r="D360" s="48"/>
      <c r="E360" s="48"/>
      <c r="F360" s="49"/>
      <c r="G360" s="48"/>
      <c r="H360" s="49"/>
      <c r="I360" s="48"/>
      <c r="J360" s="49"/>
    </row>
    <row r="361" spans="1:10" ht="12.75">
      <c r="A361" s="42"/>
      <c r="B361" s="80"/>
      <c r="C361" s="86"/>
      <c r="D361" s="48"/>
      <c r="E361" s="48"/>
      <c r="F361" s="49"/>
      <c r="G361" s="48"/>
      <c r="H361" s="49"/>
      <c r="I361" s="48"/>
      <c r="J361" s="49"/>
    </row>
    <row r="362" spans="1:10" ht="12.75">
      <c r="A362" s="42" t="s">
        <v>203</v>
      </c>
      <c r="B362" s="80"/>
      <c r="C362" s="86"/>
      <c r="D362" s="48"/>
      <c r="E362" s="48"/>
      <c r="F362" s="49"/>
      <c r="G362" s="48"/>
      <c r="H362" s="49">
        <f>SUM(H333:H361)</f>
        <v>283203</v>
      </c>
      <c r="I362" s="48"/>
      <c r="J362" s="49">
        <f>SUM(J333:J360)</f>
        <v>0</v>
      </c>
    </row>
    <row r="363" spans="1:10" ht="12.75">
      <c r="A363" s="43"/>
      <c r="B363" s="80"/>
      <c r="C363" s="86"/>
      <c r="D363" s="48"/>
      <c r="E363" s="48"/>
      <c r="F363" s="49"/>
      <c r="G363" s="48"/>
      <c r="H363" s="49"/>
      <c r="I363" s="48"/>
      <c r="J363" s="49"/>
    </row>
    <row r="364" spans="1:10" ht="12.75">
      <c r="A364" s="43"/>
      <c r="B364" s="84"/>
      <c r="C364" s="88"/>
      <c r="D364" s="54"/>
      <c r="E364" s="54"/>
      <c r="F364" s="55"/>
      <c r="G364" s="54"/>
      <c r="H364" s="55"/>
      <c r="I364" s="54"/>
      <c r="J364" s="55"/>
    </row>
    <row r="365" spans="1:10" ht="12.75"/>
    <row r="366" spans="1:10" ht="12.75"/>
    <row r="367" spans="1:10" ht="12.75">
      <c r="A367" s="41" t="s">
        <v>204</v>
      </c>
      <c r="B367" s="41"/>
      <c r="C367" s="41"/>
      <c r="D367" s="41"/>
      <c r="E367" s="41"/>
      <c r="F367" s="41"/>
    </row>
    <row r="368" spans="1:10" ht="12.75"/>
    <row r="369" spans="1:10" ht="12.75"/>
    <row r="370" spans="1:10" ht="12.75">
      <c r="A370" s="42" t="s">
        <v>188</v>
      </c>
      <c r="B370" s="42" t="s">
        <v>189</v>
      </c>
      <c r="C370" s="42"/>
      <c r="D370" s="42"/>
      <c r="E370" s="42"/>
      <c r="F370" s="42"/>
      <c r="G370" s="43" t="s">
        <v>113</v>
      </c>
      <c r="H370" s="42" t="s">
        <v>205</v>
      </c>
      <c r="I370" s="42" t="s">
        <v>208</v>
      </c>
      <c r="J370" s="43"/>
    </row>
    <row r="371" spans="1:10" ht="12.75">
      <c r="A371" s="42" t="s">
        <v>191</v>
      </c>
      <c r="B371" s="89">
        <v>45971</v>
      </c>
      <c r="C371" s="42"/>
      <c r="D371" s="42"/>
      <c r="E371" s="42"/>
      <c r="F371" s="42"/>
      <c r="G371" s="43"/>
      <c r="H371" s="42" t="s">
        <v>192</v>
      </c>
      <c r="I371" s="91" t="s">
        <v>137</v>
      </c>
      <c r="J371" s="43"/>
    </row>
    <row r="372" spans="1:10" ht="12.75">
      <c r="A372" s="42"/>
      <c r="B372" s="42"/>
      <c r="C372" s="42"/>
      <c r="D372" s="42"/>
      <c r="E372" s="42"/>
      <c r="F372" s="42"/>
      <c r="G372" s="43"/>
      <c r="H372" s="43"/>
      <c r="I372" s="43"/>
      <c r="J372" s="43"/>
    </row>
    <row r="373" spans="1:10" ht="12.75">
      <c r="A373" s="42"/>
      <c r="B373" s="44" t="s">
        <v>193</v>
      </c>
      <c r="C373" s="44" t="s">
        <v>194</v>
      </c>
      <c r="D373" s="44" t="s">
        <v>195</v>
      </c>
      <c r="E373" s="44" t="s">
        <v>196</v>
      </c>
      <c r="F373" s="44" t="s">
        <v>197</v>
      </c>
      <c r="G373" s="44" t="s">
        <v>198</v>
      </c>
      <c r="H373" s="44" t="s">
        <v>199</v>
      </c>
      <c r="I373" s="44" t="s">
        <v>200</v>
      </c>
      <c r="J373" s="44" t="s">
        <v>199</v>
      </c>
    </row>
    <row r="374" spans="1:10" ht="12.75">
      <c r="A374" s="42"/>
      <c r="B374" s="79"/>
      <c r="C374" s="85"/>
      <c r="D374" s="45"/>
      <c r="E374" s="45"/>
      <c r="F374" s="46"/>
      <c r="G374" s="45"/>
      <c r="H374" s="46"/>
      <c r="I374" s="45"/>
      <c r="J374" s="47"/>
    </row>
    <row r="375" spans="1:10" ht="12.75">
      <c r="B375" s="82">
        <v>1</v>
      </c>
      <c r="C375" s="60" t="s">
        <v>209</v>
      </c>
      <c r="D375" s="48" t="s">
        <v>202</v>
      </c>
      <c r="E375" s="48"/>
      <c r="F375" s="69">
        <v>45971</v>
      </c>
      <c r="G375" s="48" t="s">
        <v>113</v>
      </c>
      <c r="H375" s="49"/>
      <c r="I375" s="48" t="s">
        <v>139</v>
      </c>
      <c r="J375" s="49">
        <v>283203</v>
      </c>
    </row>
    <row r="376" spans="1:10" ht="12.75">
      <c r="B376" s="82"/>
      <c r="C376" s="60"/>
      <c r="D376" s="48"/>
      <c r="E376" s="48"/>
      <c r="F376" s="49"/>
      <c r="G376" s="48"/>
      <c r="H376" s="49"/>
      <c r="I376" s="48"/>
      <c r="J376" s="49"/>
    </row>
    <row r="377" spans="1:10" ht="12.75">
      <c r="A377" s="42"/>
      <c r="B377" s="82"/>
      <c r="C377" s="60"/>
      <c r="D377" s="48"/>
      <c r="E377" s="48"/>
      <c r="F377" s="69"/>
      <c r="G377" s="48"/>
      <c r="H377" s="49"/>
      <c r="I377" s="48"/>
      <c r="J377" s="49"/>
    </row>
    <row r="378" spans="1:10" ht="12.75">
      <c r="A378" s="42"/>
      <c r="B378" s="82"/>
      <c r="C378" s="60"/>
      <c r="D378" s="48"/>
      <c r="E378" s="48"/>
      <c r="F378" s="49"/>
      <c r="G378" s="48"/>
      <c r="H378" s="49"/>
      <c r="I378" s="48"/>
      <c r="J378" s="49"/>
    </row>
    <row r="379" spans="1:10" ht="12.75">
      <c r="B379" s="82"/>
      <c r="C379" s="60"/>
      <c r="D379" s="48"/>
      <c r="E379" s="48"/>
      <c r="F379" s="69"/>
      <c r="G379" s="48"/>
      <c r="H379" s="49"/>
      <c r="I379" s="48"/>
      <c r="J379" s="49"/>
    </row>
    <row r="380" spans="1:10" ht="12.75">
      <c r="B380" s="82"/>
      <c r="C380" s="60"/>
      <c r="D380" s="48"/>
      <c r="E380" s="48"/>
      <c r="F380" s="49"/>
      <c r="G380" s="48"/>
      <c r="H380" s="49"/>
      <c r="I380" s="48"/>
      <c r="J380" s="49"/>
    </row>
    <row r="381" spans="1:10" ht="12.75">
      <c r="A381" s="42"/>
      <c r="B381" s="82"/>
      <c r="C381" s="60"/>
      <c r="D381" s="48"/>
      <c r="E381" s="48"/>
      <c r="F381" s="69"/>
      <c r="G381" s="48"/>
      <c r="H381" s="49"/>
      <c r="I381" s="48"/>
      <c r="J381" s="49"/>
    </row>
    <row r="382" spans="1:10" ht="12.75">
      <c r="A382" s="42"/>
      <c r="B382" s="80"/>
      <c r="C382" s="86"/>
      <c r="D382" s="48"/>
      <c r="E382" s="48"/>
      <c r="F382" s="49"/>
      <c r="G382" s="48"/>
      <c r="H382" s="49"/>
      <c r="I382" s="48"/>
      <c r="J382" s="49"/>
    </row>
    <row r="383" spans="1:10" ht="12.75">
      <c r="B383" s="80"/>
      <c r="C383" s="60"/>
      <c r="D383" s="48"/>
      <c r="E383" s="48"/>
      <c r="F383" s="69"/>
      <c r="G383" s="48"/>
      <c r="H383" s="49"/>
      <c r="I383" s="48"/>
      <c r="J383" s="49"/>
    </row>
    <row r="384" spans="1:10" ht="12.75">
      <c r="A384" s="42"/>
      <c r="B384" s="80"/>
      <c r="C384" s="86"/>
      <c r="D384" s="48"/>
      <c r="E384" s="48"/>
      <c r="F384" s="49"/>
      <c r="G384" s="48"/>
      <c r="H384" s="49"/>
      <c r="I384" s="48"/>
      <c r="J384" s="49"/>
    </row>
    <row r="385" spans="1:10" ht="12.75">
      <c r="A385" s="42"/>
      <c r="B385" s="80"/>
      <c r="C385" s="60"/>
      <c r="D385" s="48"/>
      <c r="E385" s="48"/>
      <c r="F385" s="69"/>
      <c r="G385" s="48"/>
      <c r="H385" s="49"/>
      <c r="I385" s="48"/>
      <c r="J385" s="49"/>
    </row>
    <row r="386" spans="1:10" ht="12.75">
      <c r="A386" s="42"/>
      <c r="B386" s="80"/>
      <c r="C386" s="86"/>
      <c r="D386" s="48"/>
      <c r="E386" s="48"/>
      <c r="F386" s="49"/>
      <c r="G386" s="48"/>
      <c r="H386" s="49"/>
      <c r="I386" s="48"/>
      <c r="J386" s="49"/>
    </row>
    <row r="387" spans="1:10" ht="12.75">
      <c r="A387" s="42"/>
      <c r="B387" s="80"/>
      <c r="C387" s="86"/>
      <c r="D387" s="48"/>
      <c r="E387" s="48"/>
      <c r="F387" s="49"/>
      <c r="G387" s="48"/>
      <c r="H387" s="49"/>
      <c r="I387" s="48"/>
      <c r="J387" s="49"/>
    </row>
    <row r="388" spans="1:10" ht="12.75">
      <c r="A388" s="42"/>
      <c r="B388" s="80"/>
      <c r="C388" s="86"/>
      <c r="D388" s="48"/>
      <c r="E388" s="48"/>
      <c r="F388" s="49"/>
      <c r="G388" s="48"/>
      <c r="H388" s="49"/>
      <c r="I388" s="48"/>
      <c r="J388" s="49"/>
    </row>
    <row r="389" spans="1:10" ht="12.75">
      <c r="A389" s="42"/>
      <c r="B389" s="80"/>
      <c r="C389" s="86"/>
      <c r="D389" s="48"/>
      <c r="E389" s="48"/>
      <c r="F389" s="49"/>
      <c r="G389" s="48"/>
      <c r="H389" s="49"/>
      <c r="I389" s="48"/>
      <c r="J389" s="49"/>
    </row>
    <row r="390" spans="1:10" ht="12.75">
      <c r="A390" s="42"/>
      <c r="B390" s="80"/>
      <c r="C390" s="86"/>
      <c r="D390" s="48"/>
      <c r="E390" s="48"/>
      <c r="F390" s="49"/>
      <c r="G390" s="48"/>
      <c r="H390" s="49"/>
      <c r="I390" s="48"/>
      <c r="J390" s="49"/>
    </row>
    <row r="391" spans="1:10" ht="12.75">
      <c r="A391" s="42"/>
      <c r="B391" s="80"/>
      <c r="C391" s="86"/>
      <c r="D391" s="48"/>
      <c r="E391" s="48"/>
      <c r="F391" s="49"/>
      <c r="G391" s="48"/>
      <c r="H391" s="49"/>
      <c r="I391" s="48"/>
      <c r="J391" s="49"/>
    </row>
    <row r="392" spans="1:10" ht="12.75">
      <c r="A392" s="42"/>
      <c r="B392" s="80"/>
      <c r="C392" s="86"/>
      <c r="D392" s="48"/>
      <c r="E392" s="48"/>
      <c r="F392" s="49"/>
      <c r="G392" s="48"/>
      <c r="H392" s="49"/>
      <c r="I392" s="48"/>
      <c r="J392" s="49"/>
    </row>
    <row r="393" spans="1:10" ht="12.75">
      <c r="A393" s="42"/>
      <c r="B393" s="80"/>
      <c r="C393" s="86"/>
      <c r="D393" s="48"/>
      <c r="E393" s="48"/>
      <c r="F393" s="49"/>
      <c r="G393" s="48"/>
      <c r="H393" s="49"/>
      <c r="I393" s="48"/>
      <c r="J393" s="49"/>
    </row>
    <row r="394" spans="1:10" ht="12.75">
      <c r="A394" s="42"/>
      <c r="B394" s="80"/>
      <c r="C394" s="86"/>
      <c r="D394" s="48"/>
      <c r="E394" s="48"/>
      <c r="F394" s="49"/>
      <c r="G394" s="48"/>
      <c r="H394" s="49"/>
      <c r="I394" s="48"/>
      <c r="J394" s="49"/>
    </row>
    <row r="395" spans="1:10" ht="12.75">
      <c r="A395" s="42"/>
      <c r="B395" s="80"/>
      <c r="C395" s="86"/>
      <c r="D395" s="48"/>
      <c r="E395" s="48"/>
      <c r="F395" s="49"/>
      <c r="G395" s="48"/>
      <c r="H395" s="49"/>
      <c r="I395" s="48"/>
      <c r="J395" s="49"/>
    </row>
    <row r="396" spans="1:10" ht="12.75">
      <c r="A396" s="42"/>
      <c r="B396" s="80"/>
      <c r="C396" s="86"/>
      <c r="D396" s="48"/>
      <c r="E396" s="48"/>
      <c r="F396" s="49"/>
      <c r="G396" s="48"/>
      <c r="H396" s="49"/>
      <c r="I396" s="48"/>
      <c r="J396" s="49"/>
    </row>
    <row r="397" spans="1:10" ht="12.75">
      <c r="A397" s="42"/>
      <c r="B397" s="80"/>
      <c r="C397" s="86"/>
      <c r="D397" s="48"/>
      <c r="E397" s="48"/>
      <c r="F397" s="49"/>
      <c r="G397" s="48"/>
      <c r="H397" s="49"/>
      <c r="I397" s="48"/>
      <c r="J397" s="49"/>
    </row>
    <row r="398" spans="1:10" ht="12.75">
      <c r="A398" s="42"/>
      <c r="B398" s="80"/>
      <c r="C398" s="86"/>
      <c r="D398" s="48"/>
      <c r="E398" s="48"/>
      <c r="F398" s="49"/>
      <c r="G398" s="48"/>
      <c r="H398" s="49"/>
      <c r="I398" s="48"/>
      <c r="J398" s="49"/>
    </row>
    <row r="399" spans="1:10" ht="12.75">
      <c r="A399" s="42"/>
      <c r="B399" s="80"/>
      <c r="C399" s="86"/>
      <c r="D399" s="48"/>
      <c r="E399" s="48"/>
      <c r="F399" s="49"/>
      <c r="G399" s="48"/>
      <c r="H399" s="49"/>
      <c r="I399" s="48"/>
      <c r="J399" s="49"/>
    </row>
    <row r="400" spans="1:10" ht="12.75">
      <c r="A400" s="42"/>
      <c r="B400" s="80"/>
      <c r="C400" s="86"/>
      <c r="D400" s="48"/>
      <c r="E400" s="48"/>
      <c r="F400" s="49"/>
      <c r="G400" s="48"/>
      <c r="H400" s="49"/>
      <c r="I400" s="48"/>
      <c r="J400" s="49"/>
    </row>
    <row r="401" spans="1:10" ht="12.75">
      <c r="A401" s="42" t="s">
        <v>207</v>
      </c>
      <c r="B401" s="80"/>
      <c r="C401" s="86"/>
      <c r="D401" s="48"/>
      <c r="E401" s="48"/>
      <c r="F401" s="49"/>
      <c r="G401" s="48"/>
      <c r="H401" s="49"/>
      <c r="I401" s="48"/>
      <c r="J401" s="49">
        <f>SUM(J375:J400)</f>
        <v>283203</v>
      </c>
    </row>
    <row r="402" spans="1:10" ht="12.75">
      <c r="A402" s="43"/>
      <c r="B402" s="80"/>
      <c r="C402" s="86"/>
      <c r="D402" s="48"/>
      <c r="E402" s="48"/>
      <c r="F402" s="49"/>
      <c r="G402" s="48"/>
      <c r="H402" s="49"/>
      <c r="I402" s="48"/>
      <c r="J402" s="49"/>
    </row>
    <row r="403" spans="1:10" ht="12.75">
      <c r="A403" s="43"/>
      <c r="B403" s="84"/>
      <c r="C403" s="88"/>
      <c r="D403" s="54"/>
      <c r="E403" s="54"/>
      <c r="F403" s="55"/>
      <c r="G403" s="54"/>
      <c r="H403" s="55"/>
      <c r="I403" s="54"/>
      <c r="J403" s="55"/>
    </row>
    <row r="404" spans="1:10" ht="12.75"/>
    <row r="405" spans="1:10" ht="12.75"/>
    <row r="406" spans="1:10" ht="12.75">
      <c r="A406" s="41" t="s">
        <v>204</v>
      </c>
      <c r="B406" s="41"/>
      <c r="C406" s="41"/>
      <c r="D406" s="41"/>
      <c r="E406" s="41"/>
      <c r="F406" s="41"/>
    </row>
    <row r="407" spans="1:10" ht="12.75"/>
    <row r="408" spans="1:10" ht="12.75"/>
    <row r="409" spans="1:10" ht="12.75">
      <c r="A409" s="42" t="s">
        <v>188</v>
      </c>
      <c r="B409" s="42" t="s">
        <v>189</v>
      </c>
      <c r="C409" s="42"/>
      <c r="D409" s="42"/>
      <c r="E409" s="42"/>
      <c r="F409" s="42"/>
      <c r="G409" s="43" t="s">
        <v>113</v>
      </c>
      <c r="H409" s="42" t="s">
        <v>205</v>
      </c>
      <c r="I409" s="42" t="s">
        <v>210</v>
      </c>
      <c r="J409" s="43"/>
    </row>
    <row r="410" spans="1:10" ht="12.75">
      <c r="A410" s="42" t="s">
        <v>191</v>
      </c>
      <c r="B410" s="89">
        <v>45971</v>
      </c>
      <c r="C410" s="42"/>
      <c r="D410" s="42"/>
      <c r="E410" s="42"/>
      <c r="F410" s="42"/>
      <c r="G410" s="43"/>
      <c r="H410" s="42" t="s">
        <v>192</v>
      </c>
      <c r="I410" s="91" t="s">
        <v>154</v>
      </c>
      <c r="J410" s="43"/>
    </row>
    <row r="411" spans="1:10" ht="12.75">
      <c r="A411" s="42"/>
      <c r="B411" s="42"/>
      <c r="C411" s="42"/>
      <c r="D411" s="42"/>
      <c r="E411" s="42"/>
      <c r="F411" s="42"/>
      <c r="G411" s="43"/>
      <c r="H411" s="43"/>
      <c r="I411" s="43"/>
      <c r="J411" s="43"/>
    </row>
    <row r="412" spans="1:10" ht="12.75">
      <c r="A412" s="42"/>
      <c r="B412" s="44" t="s">
        <v>193</v>
      </c>
      <c r="C412" s="44" t="s">
        <v>194</v>
      </c>
      <c r="D412" s="44" t="s">
        <v>195</v>
      </c>
      <c r="E412" s="44" t="s">
        <v>196</v>
      </c>
      <c r="F412" s="44" t="s">
        <v>197</v>
      </c>
      <c r="G412" s="44" t="s">
        <v>198</v>
      </c>
      <c r="H412" s="44" t="s">
        <v>199</v>
      </c>
      <c r="I412" s="44" t="s">
        <v>200</v>
      </c>
      <c r="J412" s="44" t="s">
        <v>199</v>
      </c>
    </row>
    <row r="413" spans="1:10" ht="12.75">
      <c r="A413" s="42"/>
      <c r="B413" s="79"/>
      <c r="C413" s="85"/>
      <c r="D413" s="45"/>
      <c r="E413" s="45"/>
      <c r="F413" s="46"/>
      <c r="G413" s="45"/>
      <c r="H413" s="46"/>
      <c r="I413" s="45"/>
      <c r="J413" s="47"/>
    </row>
    <row r="414" spans="1:10" ht="12.75">
      <c r="B414" s="82">
        <v>1</v>
      </c>
      <c r="C414" s="60" t="s">
        <v>209</v>
      </c>
      <c r="D414" s="48" t="s">
        <v>202</v>
      </c>
      <c r="E414" s="48"/>
      <c r="F414" s="69">
        <v>45971</v>
      </c>
      <c r="G414" s="48" t="s">
        <v>113</v>
      </c>
      <c r="H414" s="49"/>
      <c r="I414" s="48" t="s">
        <v>139</v>
      </c>
      <c r="J414" s="49">
        <v>40457</v>
      </c>
    </row>
    <row r="415" spans="1:10" ht="12.75">
      <c r="B415" s="82"/>
      <c r="C415" s="60"/>
      <c r="D415" s="48"/>
      <c r="E415" s="48"/>
      <c r="F415" s="49"/>
      <c r="G415" s="48"/>
      <c r="H415" s="49"/>
      <c r="I415" s="48"/>
      <c r="J415" s="49"/>
    </row>
    <row r="416" spans="1:10" ht="12.75">
      <c r="A416" s="42"/>
      <c r="B416" s="82"/>
      <c r="C416" s="60"/>
      <c r="D416" s="48"/>
      <c r="E416" s="48"/>
      <c r="F416" s="69"/>
      <c r="G416" s="48"/>
      <c r="H416" s="49"/>
      <c r="I416" s="48" t="s">
        <v>113</v>
      </c>
      <c r="J416" s="49" t="s">
        <v>113</v>
      </c>
    </row>
    <row r="417" spans="1:10" ht="12.75">
      <c r="A417" s="42"/>
      <c r="B417" s="82"/>
      <c r="C417" s="60"/>
      <c r="D417" s="48"/>
      <c r="E417" s="48"/>
      <c r="F417" s="49"/>
      <c r="G417" s="48"/>
      <c r="H417" s="49"/>
      <c r="I417" s="48"/>
      <c r="J417" s="49"/>
    </row>
    <row r="418" spans="1:10" ht="12.75">
      <c r="B418" s="82"/>
      <c r="C418" s="60"/>
      <c r="D418" s="48"/>
      <c r="E418" s="48"/>
      <c r="F418" s="69"/>
      <c r="G418" s="48"/>
      <c r="H418" s="49"/>
      <c r="I418" s="48"/>
      <c r="J418" s="49"/>
    </row>
    <row r="419" spans="1:10" ht="12.75">
      <c r="B419" s="82"/>
      <c r="C419" s="60"/>
      <c r="D419" s="48"/>
      <c r="E419" s="48"/>
      <c r="F419" s="49"/>
      <c r="G419" s="48"/>
      <c r="H419" s="49"/>
      <c r="I419" s="48"/>
      <c r="J419" s="49"/>
    </row>
    <row r="420" spans="1:10" ht="12.75">
      <c r="A420" s="42"/>
      <c r="B420" s="82"/>
      <c r="C420" s="60"/>
      <c r="D420" s="48"/>
      <c r="E420" s="48"/>
      <c r="F420" s="69"/>
      <c r="G420" s="48"/>
      <c r="H420" s="49"/>
      <c r="I420" s="48"/>
      <c r="J420" s="49"/>
    </row>
    <row r="421" spans="1:10" ht="12.75">
      <c r="A421" s="42"/>
      <c r="B421" s="80"/>
      <c r="C421" s="86"/>
      <c r="D421" s="48"/>
      <c r="E421" s="48"/>
      <c r="F421" s="49"/>
      <c r="G421" s="48"/>
      <c r="H421" s="49"/>
      <c r="I421" s="48"/>
      <c r="J421" s="49"/>
    </row>
    <row r="422" spans="1:10" ht="12.75">
      <c r="B422" s="80"/>
      <c r="C422" s="60"/>
      <c r="D422" s="48"/>
      <c r="E422" s="48"/>
      <c r="F422" s="69"/>
      <c r="G422" s="48"/>
      <c r="H422" s="49"/>
      <c r="I422" s="48"/>
      <c r="J422" s="49"/>
    </row>
    <row r="423" spans="1:10" ht="12.75">
      <c r="A423" s="42"/>
      <c r="B423" s="80"/>
      <c r="C423" s="86"/>
      <c r="D423" s="48"/>
      <c r="E423" s="48"/>
      <c r="F423" s="49"/>
      <c r="G423" s="48"/>
      <c r="H423" s="49"/>
      <c r="I423" s="48"/>
      <c r="J423" s="49"/>
    </row>
    <row r="424" spans="1:10" ht="12.75">
      <c r="A424" s="42"/>
      <c r="B424" s="80"/>
      <c r="C424" s="60"/>
      <c r="D424" s="48"/>
      <c r="E424" s="48"/>
      <c r="F424" s="69"/>
      <c r="G424" s="48"/>
      <c r="H424" s="49"/>
      <c r="I424" s="48"/>
      <c r="J424" s="49"/>
    </row>
    <row r="425" spans="1:10" ht="12.75">
      <c r="A425" s="42"/>
      <c r="B425" s="80"/>
      <c r="C425" s="86"/>
      <c r="D425" s="48"/>
      <c r="E425" s="48"/>
      <c r="F425" s="49"/>
      <c r="G425" s="48"/>
      <c r="H425" s="49"/>
      <c r="I425" s="48"/>
      <c r="J425" s="49"/>
    </row>
    <row r="426" spans="1:10" ht="12.75">
      <c r="A426" s="42"/>
      <c r="B426" s="80"/>
      <c r="C426" s="86"/>
      <c r="D426" s="48"/>
      <c r="E426" s="48"/>
      <c r="F426" s="49"/>
      <c r="G426" s="48"/>
      <c r="H426" s="49"/>
      <c r="I426" s="48"/>
      <c r="J426" s="49"/>
    </row>
    <row r="427" spans="1:10" ht="12.75">
      <c r="A427" s="42"/>
      <c r="B427" s="80"/>
      <c r="C427" s="86"/>
      <c r="D427" s="48"/>
      <c r="E427" s="48"/>
      <c r="F427" s="49"/>
      <c r="G427" s="48"/>
      <c r="H427" s="49"/>
      <c r="I427" s="48"/>
      <c r="J427" s="49"/>
    </row>
    <row r="428" spans="1:10" ht="12.75">
      <c r="A428" s="42"/>
      <c r="B428" s="80"/>
      <c r="C428" s="86"/>
      <c r="D428" s="48"/>
      <c r="E428" s="48"/>
      <c r="F428" s="49"/>
      <c r="G428" s="48"/>
      <c r="H428" s="49"/>
      <c r="I428" s="48"/>
      <c r="J428" s="49"/>
    </row>
    <row r="429" spans="1:10" ht="12.75">
      <c r="A429" s="42"/>
      <c r="B429" s="80"/>
      <c r="C429" s="86"/>
      <c r="D429" s="48"/>
      <c r="E429" s="48"/>
      <c r="F429" s="49"/>
      <c r="G429" s="48"/>
      <c r="H429" s="49"/>
      <c r="I429" s="48"/>
      <c r="J429" s="49"/>
    </row>
    <row r="430" spans="1:10" ht="12.75">
      <c r="A430" s="42"/>
      <c r="B430" s="80"/>
      <c r="C430" s="86"/>
      <c r="D430" s="48"/>
      <c r="E430" s="48"/>
      <c r="F430" s="49"/>
      <c r="G430" s="48"/>
      <c r="H430" s="49"/>
      <c r="I430" s="48"/>
      <c r="J430" s="49"/>
    </row>
    <row r="431" spans="1:10" ht="12.75">
      <c r="A431" s="42"/>
      <c r="B431" s="80"/>
      <c r="C431" s="86"/>
      <c r="D431" s="48"/>
      <c r="E431" s="48"/>
      <c r="F431" s="49"/>
      <c r="G431" s="48"/>
      <c r="H431" s="49"/>
      <c r="I431" s="48"/>
      <c r="J431" s="49"/>
    </row>
    <row r="432" spans="1:10" ht="12.75">
      <c r="A432" s="42"/>
      <c r="B432" s="80"/>
      <c r="C432" s="86"/>
      <c r="D432" s="48"/>
      <c r="E432" s="48"/>
      <c r="F432" s="49"/>
      <c r="G432" s="48"/>
      <c r="H432" s="49"/>
      <c r="I432" s="48"/>
      <c r="J432" s="49"/>
    </row>
    <row r="433" spans="1:10" ht="12.75">
      <c r="A433" s="42"/>
      <c r="B433" s="80"/>
      <c r="C433" s="86"/>
      <c r="D433" s="48"/>
      <c r="E433" s="48"/>
      <c r="F433" s="49"/>
      <c r="G433" s="48"/>
      <c r="H433" s="49"/>
      <c r="I433" s="48"/>
      <c r="J433" s="49"/>
    </row>
    <row r="434" spans="1:10" ht="12.75">
      <c r="A434" s="42"/>
      <c r="B434" s="80"/>
      <c r="C434" s="86"/>
      <c r="D434" s="48"/>
      <c r="E434" s="48"/>
      <c r="F434" s="49"/>
      <c r="G434" s="48"/>
      <c r="H434" s="49"/>
      <c r="I434" s="48"/>
      <c r="J434" s="49"/>
    </row>
    <row r="435" spans="1:10" ht="12.75">
      <c r="A435" s="42"/>
      <c r="B435" s="80"/>
      <c r="C435" s="86"/>
      <c r="D435" s="48"/>
      <c r="E435" s="48"/>
      <c r="F435" s="49"/>
      <c r="G435" s="48"/>
      <c r="H435" s="49"/>
      <c r="I435" s="48"/>
      <c r="J435" s="49"/>
    </row>
    <row r="436" spans="1:10" ht="12.75">
      <c r="A436" s="42"/>
      <c r="B436" s="80"/>
      <c r="C436" s="86"/>
      <c r="D436" s="48"/>
      <c r="E436" s="48"/>
      <c r="F436" s="49"/>
      <c r="G436" s="48"/>
      <c r="H436" s="49"/>
      <c r="I436" s="48"/>
      <c r="J436" s="49"/>
    </row>
    <row r="437" spans="1:10" ht="12.75">
      <c r="A437" s="42"/>
      <c r="B437" s="80"/>
      <c r="C437" s="86"/>
      <c r="D437" s="48"/>
      <c r="E437" s="48"/>
      <c r="F437" s="49"/>
      <c r="G437" s="48"/>
      <c r="H437" s="49"/>
      <c r="I437" s="48"/>
      <c r="J437" s="49"/>
    </row>
    <row r="438" spans="1:10" ht="12.75">
      <c r="A438" s="42"/>
      <c r="B438" s="80"/>
      <c r="C438" s="86"/>
      <c r="D438" s="48"/>
      <c r="E438" s="48"/>
      <c r="F438" s="49"/>
      <c r="G438" s="48"/>
      <c r="H438" s="49"/>
      <c r="I438" s="48"/>
      <c r="J438" s="49"/>
    </row>
    <row r="439" spans="1:10" ht="12.75">
      <c r="A439" s="42"/>
      <c r="B439" s="80"/>
      <c r="C439" s="86"/>
      <c r="D439" s="48"/>
      <c r="E439" s="48"/>
      <c r="F439" s="49"/>
      <c r="G439" s="48"/>
      <c r="H439" s="49"/>
      <c r="I439" s="48"/>
      <c r="J439" s="49"/>
    </row>
    <row r="440" spans="1:10" ht="12.75">
      <c r="A440" s="42" t="s">
        <v>207</v>
      </c>
      <c r="B440" s="80"/>
      <c r="C440" s="86"/>
      <c r="D440" s="48"/>
      <c r="E440" s="48"/>
      <c r="F440" s="49"/>
      <c r="G440" s="48"/>
      <c r="H440" s="49">
        <f>SUM(H414:H439)</f>
        <v>0</v>
      </c>
      <c r="I440" s="48"/>
      <c r="J440" s="49">
        <f>SUM(J414:J439)</f>
        <v>40457</v>
      </c>
    </row>
    <row r="441" spans="1:10" ht="12.75">
      <c r="A441" s="43"/>
      <c r="B441" s="80"/>
      <c r="C441" s="86"/>
      <c r="D441" s="48"/>
      <c r="E441" s="48"/>
      <c r="F441" s="49"/>
      <c r="G441" s="48"/>
      <c r="H441" s="49"/>
      <c r="I441" s="48"/>
      <c r="J441" s="49"/>
    </row>
    <row r="442" spans="1:10" ht="12.75">
      <c r="A442" s="43"/>
      <c r="B442" s="84"/>
      <c r="C442" s="88"/>
      <c r="D442" s="54"/>
      <c r="E442" s="54"/>
      <c r="F442" s="55"/>
      <c r="G442" s="54"/>
      <c r="H442" s="55"/>
      <c r="I442" s="54"/>
      <c r="J442" s="55"/>
    </row>
    <row r="443" spans="1:10" ht="12.75"/>
    <row r="444" spans="1:10" ht="12.75"/>
    <row r="445" spans="1:10" ht="12.75">
      <c r="A445" s="41" t="s">
        <v>187</v>
      </c>
      <c r="B445" s="41"/>
      <c r="C445" s="41"/>
      <c r="D445" s="41"/>
      <c r="E445" s="41"/>
      <c r="F445" s="41"/>
    </row>
    <row r="446" spans="1:10" ht="12.75">
      <c r="F446" s="68" t="s">
        <v>113</v>
      </c>
    </row>
    <row r="447" spans="1:10" ht="12.75"/>
    <row r="448" spans="1:10" ht="12.75">
      <c r="A448" s="42" t="s">
        <v>188</v>
      </c>
      <c r="B448" s="42" t="s">
        <v>189</v>
      </c>
      <c r="C448" s="42"/>
      <c r="D448" s="42"/>
      <c r="E448" s="42"/>
      <c r="F448" s="42"/>
      <c r="G448" s="43" t="s">
        <v>113</v>
      </c>
      <c r="H448" s="42" t="s">
        <v>175</v>
      </c>
      <c r="I448" s="90" t="s">
        <v>190</v>
      </c>
      <c r="J448" s="43"/>
    </row>
    <row r="449" spans="1:10" ht="12.75">
      <c r="A449" s="42" t="s">
        <v>191</v>
      </c>
      <c r="B449" s="89">
        <v>45973</v>
      </c>
      <c r="C449" s="42"/>
      <c r="D449" s="42"/>
      <c r="E449" s="42"/>
      <c r="F449" s="42"/>
      <c r="G449" s="43"/>
      <c r="H449" s="42" t="s">
        <v>192</v>
      </c>
      <c r="I449" s="91" t="s">
        <v>109</v>
      </c>
      <c r="J449" s="43"/>
    </row>
    <row r="450" spans="1:10" ht="12.75">
      <c r="A450" s="42"/>
      <c r="B450" s="42"/>
      <c r="C450" s="42"/>
      <c r="D450" s="42"/>
      <c r="E450" s="42"/>
      <c r="F450" s="42"/>
      <c r="G450" s="43"/>
      <c r="H450" s="43"/>
      <c r="I450" s="43"/>
      <c r="J450" s="43"/>
    </row>
    <row r="451" spans="1:10" ht="12.75">
      <c r="A451" s="42"/>
      <c r="B451" s="44" t="s">
        <v>193</v>
      </c>
      <c r="C451" s="44" t="s">
        <v>194</v>
      </c>
      <c r="D451" s="44" t="s">
        <v>195</v>
      </c>
      <c r="E451" s="44" t="s">
        <v>196</v>
      </c>
      <c r="F451" s="44" t="s">
        <v>197</v>
      </c>
      <c r="G451" s="44" t="s">
        <v>198</v>
      </c>
      <c r="H451" s="44" t="s">
        <v>199</v>
      </c>
      <c r="I451" s="44" t="s">
        <v>200</v>
      </c>
      <c r="J451" s="44" t="s">
        <v>199</v>
      </c>
    </row>
    <row r="452" spans="1:10" ht="12.75">
      <c r="A452" s="42"/>
      <c r="B452" s="79"/>
      <c r="C452" s="85"/>
      <c r="D452" s="45"/>
      <c r="E452" s="45"/>
      <c r="F452" s="46"/>
      <c r="G452" s="45"/>
      <c r="H452" s="46"/>
      <c r="I452" s="45"/>
      <c r="J452" s="47"/>
    </row>
    <row r="453" spans="1:10" ht="12.75">
      <c r="B453" s="80">
        <v>1</v>
      </c>
      <c r="C453" s="86" t="s">
        <v>201</v>
      </c>
      <c r="D453" s="48" t="s">
        <v>202</v>
      </c>
      <c r="E453" s="48"/>
      <c r="F453" s="69">
        <v>45973</v>
      </c>
      <c r="G453" s="48" t="s">
        <v>125</v>
      </c>
      <c r="H453" s="49">
        <v>688880</v>
      </c>
      <c r="I453" s="48" t="s">
        <v>113</v>
      </c>
      <c r="J453" s="49" t="s">
        <v>113</v>
      </c>
    </row>
    <row r="454" spans="1:10" ht="12.75">
      <c r="A454" s="42"/>
      <c r="B454" s="80"/>
      <c r="C454" s="86"/>
      <c r="D454" s="48"/>
      <c r="E454" s="48"/>
      <c r="F454" s="49"/>
      <c r="G454" s="48"/>
      <c r="H454" s="49"/>
      <c r="I454" s="48"/>
      <c r="J454" s="49"/>
    </row>
    <row r="455" spans="1:10" ht="12.75">
      <c r="B455" s="81"/>
      <c r="C455" s="59"/>
      <c r="D455" s="48"/>
      <c r="E455" s="48"/>
      <c r="F455" s="69"/>
      <c r="G455" s="48"/>
      <c r="H455" s="49"/>
      <c r="I455" s="48"/>
      <c r="J455" s="49"/>
    </row>
    <row r="456" spans="1:10" ht="12.75">
      <c r="B456" s="81"/>
      <c r="C456" s="59"/>
      <c r="D456" s="48"/>
      <c r="E456" s="48"/>
      <c r="F456" s="49"/>
      <c r="G456" s="48"/>
      <c r="H456" s="49"/>
      <c r="I456" s="48"/>
      <c r="J456" s="49"/>
    </row>
    <row r="457" spans="1:10" ht="12.75">
      <c r="A457" s="42"/>
      <c r="B457" s="81"/>
      <c r="C457" s="104"/>
      <c r="D457" s="48"/>
      <c r="E457" s="48"/>
      <c r="F457" s="69"/>
      <c r="G457" s="48"/>
      <c r="H457" s="49"/>
      <c r="I457" s="48"/>
      <c r="J457" s="49"/>
    </row>
    <row r="458" spans="1:10" ht="12.75">
      <c r="A458" s="42"/>
      <c r="B458" s="81"/>
      <c r="C458" s="59"/>
      <c r="D458" s="48"/>
      <c r="E458" s="48"/>
      <c r="F458" s="49"/>
      <c r="G458" s="48"/>
      <c r="H458" s="49"/>
      <c r="I458" s="48"/>
      <c r="J458" s="49"/>
    </row>
    <row r="459" spans="1:10" ht="12.75">
      <c r="A459" s="42"/>
      <c r="B459" s="82"/>
      <c r="C459" s="60"/>
      <c r="D459" s="48"/>
      <c r="E459" s="48"/>
      <c r="F459" s="69"/>
      <c r="G459" s="48"/>
      <c r="H459" s="49"/>
      <c r="I459" s="48"/>
      <c r="J459" s="49"/>
    </row>
    <row r="460" spans="1:10" ht="12.75">
      <c r="B460" s="80"/>
      <c r="C460" s="86"/>
      <c r="D460" s="48"/>
      <c r="E460" s="48"/>
      <c r="F460" s="49"/>
      <c r="G460" s="48"/>
      <c r="H460" s="49"/>
      <c r="I460" s="48"/>
      <c r="J460" s="49"/>
    </row>
    <row r="461" spans="1:10" ht="12.75">
      <c r="A461" s="42"/>
      <c r="B461" s="80"/>
      <c r="C461" s="86"/>
      <c r="D461" s="48"/>
      <c r="E461" s="48"/>
      <c r="F461" s="49"/>
      <c r="G461" s="48"/>
      <c r="H461" s="49"/>
      <c r="I461" s="48"/>
      <c r="J461" s="49"/>
    </row>
    <row r="462" spans="1:10" ht="12.75">
      <c r="A462" s="42"/>
      <c r="B462" s="80"/>
      <c r="C462" s="86"/>
      <c r="D462" s="48"/>
      <c r="E462" s="48"/>
      <c r="F462" s="49"/>
      <c r="G462" s="48"/>
      <c r="H462" s="49"/>
      <c r="I462" s="48"/>
      <c r="J462" s="49"/>
    </row>
    <row r="463" spans="1:10" ht="12.75">
      <c r="A463" s="42"/>
      <c r="B463" s="80"/>
      <c r="C463" s="86"/>
      <c r="D463" s="48"/>
      <c r="E463" s="48"/>
      <c r="F463" s="49"/>
      <c r="G463" s="48"/>
      <c r="H463" s="49"/>
      <c r="I463" s="48"/>
      <c r="J463" s="49"/>
    </row>
    <row r="464" spans="1:10" ht="12.75">
      <c r="A464" s="42"/>
      <c r="B464" s="80"/>
      <c r="C464" s="86"/>
      <c r="D464" s="48"/>
      <c r="E464" s="48"/>
      <c r="F464" s="49"/>
      <c r="G464" s="48"/>
      <c r="H464" s="49"/>
      <c r="I464" s="48"/>
      <c r="J464" s="49"/>
    </row>
    <row r="465" spans="1:11" ht="12.75">
      <c r="A465" s="42"/>
      <c r="B465" s="80"/>
      <c r="C465" s="86"/>
      <c r="D465" s="48"/>
      <c r="E465" s="48"/>
      <c r="F465" s="49"/>
      <c r="G465" s="48"/>
      <c r="H465" s="49"/>
      <c r="I465" s="48"/>
      <c r="J465" s="49"/>
    </row>
    <row r="466" spans="1:11" ht="12.75">
      <c r="A466" s="50"/>
      <c r="B466" s="83"/>
      <c r="C466" s="87"/>
      <c r="D466" s="51"/>
      <c r="E466" s="51"/>
      <c r="F466" s="52"/>
      <c r="G466" s="51"/>
      <c r="H466" s="52"/>
      <c r="I466" s="51"/>
      <c r="J466" s="52"/>
      <c r="K466" s="53"/>
    </row>
    <row r="467" spans="1:11" ht="12.75">
      <c r="A467" s="42"/>
      <c r="B467" s="80"/>
      <c r="C467" s="86"/>
      <c r="D467" s="48"/>
      <c r="E467" s="48"/>
      <c r="F467" s="49"/>
      <c r="G467" s="48"/>
      <c r="H467" s="49"/>
      <c r="I467" s="48"/>
      <c r="J467" s="49"/>
    </row>
    <row r="468" spans="1:11" ht="12.75">
      <c r="A468" s="42"/>
      <c r="B468" s="80"/>
      <c r="C468" s="86"/>
      <c r="D468" s="48"/>
      <c r="E468" s="48"/>
      <c r="F468" s="49"/>
      <c r="G468" s="48"/>
      <c r="H468" s="49"/>
      <c r="I468" s="48"/>
      <c r="J468" s="49"/>
    </row>
    <row r="469" spans="1:11" ht="12.75">
      <c r="A469" s="42"/>
      <c r="B469" s="80"/>
      <c r="C469" s="86"/>
      <c r="D469" s="48"/>
      <c r="E469" s="48"/>
      <c r="F469" s="49"/>
      <c r="G469" s="48"/>
      <c r="H469" s="49"/>
      <c r="I469" s="48"/>
      <c r="J469" s="49"/>
    </row>
    <row r="470" spans="1:11" ht="12.75">
      <c r="A470" s="42"/>
      <c r="B470" s="80"/>
      <c r="C470" s="86"/>
      <c r="D470" s="48"/>
      <c r="E470" s="48"/>
      <c r="F470" s="49"/>
      <c r="G470" s="48"/>
      <c r="H470" s="49"/>
      <c r="I470" s="48"/>
      <c r="J470" s="49"/>
    </row>
    <row r="471" spans="1:11" ht="12.75">
      <c r="A471" s="42"/>
      <c r="B471" s="80"/>
      <c r="C471" s="86"/>
      <c r="D471" s="48"/>
      <c r="E471" s="48"/>
      <c r="F471" s="49"/>
      <c r="G471" s="48"/>
      <c r="H471" s="49"/>
      <c r="I471" s="48"/>
      <c r="J471" s="49"/>
    </row>
    <row r="472" spans="1:11" ht="12.75">
      <c r="A472" s="42"/>
      <c r="B472" s="80"/>
      <c r="C472" s="86"/>
      <c r="D472" s="48"/>
      <c r="E472" s="48"/>
      <c r="F472" s="49"/>
      <c r="G472" s="48"/>
      <c r="H472" s="49"/>
      <c r="I472" s="48"/>
      <c r="J472" s="49"/>
    </row>
    <row r="473" spans="1:11" ht="12.75">
      <c r="A473" s="42"/>
      <c r="B473" s="80"/>
      <c r="C473" s="86"/>
      <c r="D473" s="48"/>
      <c r="E473" s="48"/>
      <c r="F473" s="49"/>
      <c r="G473" s="48"/>
      <c r="H473" s="49"/>
      <c r="I473" s="48"/>
      <c r="J473" s="49"/>
    </row>
    <row r="474" spans="1:11" ht="12.75">
      <c r="A474" s="42"/>
      <c r="B474" s="80"/>
      <c r="C474" s="86"/>
      <c r="D474" s="48"/>
      <c r="E474" s="48"/>
      <c r="F474" s="49"/>
      <c r="G474" s="48"/>
      <c r="H474" s="49"/>
      <c r="I474" s="48"/>
      <c r="J474" s="49"/>
    </row>
    <row r="475" spans="1:11" ht="12.75">
      <c r="A475" s="42"/>
      <c r="B475" s="80"/>
      <c r="C475" s="86"/>
      <c r="D475" s="48"/>
      <c r="E475" s="48"/>
      <c r="F475" s="49"/>
      <c r="G475" s="48"/>
      <c r="H475" s="49"/>
      <c r="I475" s="48"/>
      <c r="J475" s="49"/>
    </row>
    <row r="476" spans="1:11" ht="12.75">
      <c r="A476" s="42"/>
      <c r="B476" s="80"/>
      <c r="C476" s="86"/>
      <c r="D476" s="48"/>
      <c r="E476" s="48"/>
      <c r="F476" s="49"/>
      <c r="G476" s="48"/>
      <c r="H476" s="49"/>
      <c r="I476" s="48"/>
      <c r="J476" s="49"/>
    </row>
    <row r="477" spans="1:11" ht="12.75">
      <c r="A477" s="42"/>
      <c r="B477" s="80"/>
      <c r="C477" s="86"/>
      <c r="D477" s="48"/>
      <c r="E477" s="48"/>
      <c r="F477" s="49"/>
      <c r="G477" s="48"/>
      <c r="H477" s="49"/>
      <c r="I477" s="48"/>
      <c r="J477" s="49"/>
    </row>
    <row r="478" spans="1:11" ht="12.75">
      <c r="A478" s="42"/>
      <c r="B478" s="80"/>
      <c r="C478" s="86"/>
      <c r="D478" s="48"/>
      <c r="E478" s="48"/>
      <c r="F478" s="49"/>
      <c r="G478" s="48"/>
      <c r="H478" s="49"/>
      <c r="I478" s="48"/>
      <c r="J478" s="49"/>
    </row>
    <row r="479" spans="1:11" ht="12.75">
      <c r="A479" s="42"/>
      <c r="B479" s="80"/>
      <c r="C479" s="86"/>
      <c r="D479" s="48"/>
      <c r="E479" s="48"/>
      <c r="F479" s="49"/>
      <c r="G479" s="48"/>
      <c r="H479" s="49"/>
      <c r="I479" s="48"/>
      <c r="J479" s="49"/>
    </row>
    <row r="480" spans="1:11" ht="12.75">
      <c r="A480" s="42"/>
      <c r="B480" s="80"/>
      <c r="C480" s="86"/>
      <c r="D480" s="48"/>
      <c r="E480" s="48"/>
      <c r="F480" s="49"/>
      <c r="G480" s="48"/>
      <c r="H480" s="49"/>
      <c r="I480" s="48"/>
      <c r="J480" s="49"/>
    </row>
    <row r="481" spans="1:10" ht="12.75">
      <c r="A481" s="42"/>
      <c r="B481" s="80"/>
      <c r="C481" s="86"/>
      <c r="D481" s="48"/>
      <c r="E481" s="48"/>
      <c r="F481" s="49"/>
      <c r="G481" s="48"/>
      <c r="H481" s="49"/>
      <c r="I481" s="48"/>
      <c r="J481" s="49"/>
    </row>
    <row r="482" spans="1:10" ht="12.75">
      <c r="A482" s="42" t="s">
        <v>203</v>
      </c>
      <c r="B482" s="80"/>
      <c r="C482" s="86"/>
      <c r="D482" s="48"/>
      <c r="E482" s="48"/>
      <c r="F482" s="49"/>
      <c r="G482" s="48"/>
      <c r="H482" s="49">
        <f>SUM(H453:H481)</f>
        <v>688880</v>
      </c>
      <c r="I482" s="48"/>
      <c r="J482" s="49">
        <f>SUM(J453:J480)</f>
        <v>0</v>
      </c>
    </row>
    <row r="483" spans="1:10" ht="12.75">
      <c r="A483" s="43"/>
      <c r="B483" s="80"/>
      <c r="C483" s="86"/>
      <c r="D483" s="48"/>
      <c r="E483" s="48"/>
      <c r="F483" s="49"/>
      <c r="G483" s="48"/>
      <c r="H483" s="49"/>
      <c r="I483" s="48"/>
      <c r="J483" s="49"/>
    </row>
    <row r="484" spans="1:10" ht="12.75">
      <c r="A484" s="43"/>
      <c r="B484" s="84"/>
      <c r="C484" s="88"/>
      <c r="D484" s="54"/>
      <c r="E484" s="54"/>
      <c r="F484" s="55"/>
      <c r="G484" s="54"/>
      <c r="H484" s="55"/>
      <c r="I484" s="54"/>
      <c r="J484" s="55"/>
    </row>
    <row r="485" spans="1:10" ht="12.75"/>
    <row r="486" spans="1:10" ht="12.75"/>
    <row r="487" spans="1:10" ht="12.75">
      <c r="A487" s="41" t="s">
        <v>204</v>
      </c>
      <c r="B487" s="41"/>
      <c r="C487" s="41"/>
      <c r="D487" s="41"/>
      <c r="E487" s="41"/>
      <c r="F487" s="41"/>
    </row>
    <row r="488" spans="1:10" ht="12.75"/>
    <row r="489" spans="1:10" ht="12.75"/>
    <row r="490" spans="1:10" ht="12.75">
      <c r="A490" s="42" t="s">
        <v>188</v>
      </c>
      <c r="B490" s="42" t="s">
        <v>189</v>
      </c>
      <c r="C490" s="42"/>
      <c r="D490" s="42"/>
      <c r="E490" s="42"/>
      <c r="F490" s="42"/>
      <c r="G490" s="43" t="s">
        <v>113</v>
      </c>
      <c r="H490" s="42" t="s">
        <v>205</v>
      </c>
      <c r="I490" s="42" t="s">
        <v>208</v>
      </c>
      <c r="J490" s="43"/>
    </row>
    <row r="491" spans="1:10" ht="12.75">
      <c r="A491" s="42" t="s">
        <v>191</v>
      </c>
      <c r="B491" s="89">
        <v>45973</v>
      </c>
      <c r="C491" s="42"/>
      <c r="D491" s="42"/>
      <c r="E491" s="42"/>
      <c r="F491" s="42"/>
      <c r="G491" s="43"/>
      <c r="H491" s="42" t="s">
        <v>192</v>
      </c>
      <c r="I491" s="91" t="s">
        <v>137</v>
      </c>
      <c r="J491" s="43"/>
    </row>
    <row r="492" spans="1:10" ht="12.75">
      <c r="A492" s="42"/>
      <c r="B492" s="42"/>
      <c r="C492" s="42"/>
      <c r="D492" s="42"/>
      <c r="E492" s="42"/>
      <c r="F492" s="42"/>
      <c r="G492" s="43"/>
      <c r="H492" s="43"/>
      <c r="I492" s="43"/>
      <c r="J492" s="43"/>
    </row>
    <row r="493" spans="1:10" ht="12.75">
      <c r="A493" s="42"/>
      <c r="B493" s="44" t="s">
        <v>193</v>
      </c>
      <c r="C493" s="44" t="s">
        <v>194</v>
      </c>
      <c r="D493" s="44" t="s">
        <v>195</v>
      </c>
      <c r="E493" s="44" t="s">
        <v>196</v>
      </c>
      <c r="F493" s="44" t="s">
        <v>197</v>
      </c>
      <c r="G493" s="44" t="s">
        <v>198</v>
      </c>
      <c r="H493" s="44" t="s">
        <v>199</v>
      </c>
      <c r="I493" s="44" t="s">
        <v>200</v>
      </c>
      <c r="J493" s="44" t="s">
        <v>199</v>
      </c>
    </row>
    <row r="494" spans="1:10" ht="12.75">
      <c r="A494" s="42"/>
      <c r="B494" s="79"/>
      <c r="C494" s="85"/>
      <c r="D494" s="45"/>
      <c r="E494" s="45"/>
      <c r="F494" s="46"/>
      <c r="G494" s="45"/>
      <c r="H494" s="46"/>
      <c r="I494" s="45"/>
      <c r="J494" s="47"/>
    </row>
    <row r="495" spans="1:10" ht="12.75">
      <c r="B495" s="82">
        <v>1</v>
      </c>
      <c r="C495" s="60" t="s">
        <v>209</v>
      </c>
      <c r="D495" s="48" t="s">
        <v>202</v>
      </c>
      <c r="E495" s="48"/>
      <c r="F495" s="69">
        <v>45973</v>
      </c>
      <c r="G495" s="48" t="s">
        <v>113</v>
      </c>
      <c r="H495" s="49"/>
      <c r="I495" s="48" t="s">
        <v>139</v>
      </c>
      <c r="J495" s="49">
        <v>688880</v>
      </c>
    </row>
    <row r="496" spans="1:10" ht="12.75">
      <c r="B496" s="82"/>
      <c r="C496" s="60"/>
      <c r="D496" s="48"/>
      <c r="E496" s="48"/>
      <c r="F496" s="49"/>
      <c r="G496" s="48"/>
      <c r="H496" s="49"/>
      <c r="I496" s="48"/>
      <c r="J496" s="49"/>
    </row>
    <row r="497" spans="1:10" ht="12.75">
      <c r="A497" s="42"/>
      <c r="B497" s="82"/>
      <c r="C497" s="60"/>
      <c r="D497" s="48"/>
      <c r="E497" s="48"/>
      <c r="F497" s="69"/>
      <c r="G497" s="48"/>
      <c r="H497" s="49"/>
      <c r="I497" s="48"/>
      <c r="J497" s="49"/>
    </row>
    <row r="498" spans="1:10" ht="12.75">
      <c r="A498" s="42"/>
      <c r="B498" s="82"/>
      <c r="C498" s="60"/>
      <c r="D498" s="48"/>
      <c r="E498" s="48"/>
      <c r="F498" s="49"/>
      <c r="G498" s="48"/>
      <c r="H498" s="49"/>
      <c r="I498" s="48"/>
      <c r="J498" s="49"/>
    </row>
    <row r="499" spans="1:10" ht="12.75">
      <c r="B499" s="82"/>
      <c r="C499" s="60"/>
      <c r="D499" s="48"/>
      <c r="E499" s="48"/>
      <c r="F499" s="69"/>
      <c r="G499" s="48"/>
      <c r="H499" s="49"/>
      <c r="I499" s="48"/>
      <c r="J499" s="49"/>
    </row>
    <row r="500" spans="1:10" ht="12.75">
      <c r="B500" s="82"/>
      <c r="C500" s="60"/>
      <c r="D500" s="48"/>
      <c r="E500" s="48"/>
      <c r="F500" s="49"/>
      <c r="G500" s="48"/>
      <c r="H500" s="49"/>
      <c r="I500" s="48"/>
      <c r="J500" s="49"/>
    </row>
    <row r="501" spans="1:10" ht="12.75">
      <c r="A501" s="42"/>
      <c r="B501" s="82"/>
      <c r="C501" s="60"/>
      <c r="D501" s="48"/>
      <c r="E501" s="48"/>
      <c r="F501" s="69"/>
      <c r="G501" s="48"/>
      <c r="H501" s="49"/>
      <c r="I501" s="48"/>
      <c r="J501" s="49"/>
    </row>
    <row r="502" spans="1:10" ht="12.75">
      <c r="A502" s="42"/>
      <c r="B502" s="80"/>
      <c r="C502" s="86"/>
      <c r="D502" s="48"/>
      <c r="E502" s="48"/>
      <c r="F502" s="49"/>
      <c r="G502" s="48"/>
      <c r="H502" s="49"/>
      <c r="I502" s="48"/>
      <c r="J502" s="49"/>
    </row>
    <row r="503" spans="1:10" ht="12.75">
      <c r="B503" s="80"/>
      <c r="C503" s="60"/>
      <c r="D503" s="48"/>
      <c r="E503" s="48"/>
      <c r="F503" s="69"/>
      <c r="G503" s="48"/>
      <c r="H503" s="49"/>
      <c r="I503" s="48"/>
      <c r="J503" s="49"/>
    </row>
    <row r="504" spans="1:10" ht="12.75">
      <c r="A504" s="42"/>
      <c r="B504" s="80"/>
      <c r="C504" s="86"/>
      <c r="D504" s="48"/>
      <c r="E504" s="48"/>
      <c r="F504" s="49"/>
      <c r="G504" s="48"/>
      <c r="H504" s="49"/>
      <c r="I504" s="48"/>
      <c r="J504" s="49"/>
    </row>
    <row r="505" spans="1:10" ht="12.75">
      <c r="A505" s="42"/>
      <c r="B505" s="80"/>
      <c r="C505" s="60"/>
      <c r="D505" s="48"/>
      <c r="E505" s="48"/>
      <c r="F505" s="69"/>
      <c r="G505" s="48"/>
      <c r="H505" s="49"/>
      <c r="I505" s="48"/>
      <c r="J505" s="49"/>
    </row>
    <row r="506" spans="1:10" ht="12.75">
      <c r="A506" s="42"/>
      <c r="B506" s="80"/>
      <c r="C506" s="86"/>
      <c r="D506" s="48"/>
      <c r="E506" s="48"/>
      <c r="F506" s="49"/>
      <c r="G506" s="48"/>
      <c r="H506" s="49"/>
      <c r="I506" s="48"/>
      <c r="J506" s="49"/>
    </row>
    <row r="507" spans="1:10" ht="12.75">
      <c r="A507" s="42"/>
      <c r="B507" s="80"/>
      <c r="C507" s="86"/>
      <c r="D507" s="48"/>
      <c r="E507" s="48"/>
      <c r="F507" s="49"/>
      <c r="G507" s="48"/>
      <c r="H507" s="49"/>
      <c r="I507" s="48"/>
      <c r="J507" s="49"/>
    </row>
    <row r="508" spans="1:10" ht="12.75">
      <c r="A508" s="42"/>
      <c r="B508" s="80"/>
      <c r="C508" s="86"/>
      <c r="D508" s="48"/>
      <c r="E508" s="48"/>
      <c r="F508" s="49"/>
      <c r="G508" s="48"/>
      <c r="H508" s="49"/>
      <c r="I508" s="48"/>
      <c r="J508" s="49"/>
    </row>
    <row r="509" spans="1:10" ht="12.75">
      <c r="A509" s="42"/>
      <c r="B509" s="80"/>
      <c r="C509" s="86"/>
      <c r="D509" s="48"/>
      <c r="E509" s="48"/>
      <c r="F509" s="49"/>
      <c r="G509" s="48"/>
      <c r="H509" s="49"/>
      <c r="I509" s="48"/>
      <c r="J509" s="49"/>
    </row>
    <row r="510" spans="1:10" ht="12.75">
      <c r="A510" s="42"/>
      <c r="B510" s="80"/>
      <c r="C510" s="86"/>
      <c r="D510" s="48"/>
      <c r="E510" s="48"/>
      <c r="F510" s="49"/>
      <c r="G510" s="48"/>
      <c r="H510" s="49"/>
      <c r="I510" s="48"/>
      <c r="J510" s="49"/>
    </row>
    <row r="511" spans="1:10" ht="12.75">
      <c r="A511" s="42"/>
      <c r="B511" s="80"/>
      <c r="C511" s="86"/>
      <c r="D511" s="48"/>
      <c r="E511" s="48"/>
      <c r="F511" s="49"/>
      <c r="G511" s="48"/>
      <c r="H511" s="49"/>
      <c r="I511" s="48"/>
      <c r="J511" s="49"/>
    </row>
    <row r="512" spans="1:10" ht="12.75">
      <c r="A512" s="42"/>
      <c r="B512" s="80"/>
      <c r="C512" s="86"/>
      <c r="D512" s="48"/>
      <c r="E512" s="48"/>
      <c r="F512" s="49"/>
      <c r="G512" s="48"/>
      <c r="H512" s="49"/>
      <c r="I512" s="48"/>
      <c r="J512" s="49"/>
    </row>
    <row r="513" spans="1:10" ht="12.75">
      <c r="A513" s="42"/>
      <c r="B513" s="80"/>
      <c r="C513" s="86"/>
      <c r="D513" s="48"/>
      <c r="E513" s="48"/>
      <c r="F513" s="49"/>
      <c r="G513" s="48"/>
      <c r="H513" s="49"/>
      <c r="I513" s="48"/>
      <c r="J513" s="49"/>
    </row>
    <row r="514" spans="1:10" ht="12.75">
      <c r="A514" s="42"/>
      <c r="B514" s="80"/>
      <c r="C514" s="86"/>
      <c r="D514" s="48"/>
      <c r="E514" s="48"/>
      <c r="F514" s="49"/>
      <c r="G514" s="48"/>
      <c r="H514" s="49"/>
      <c r="I514" s="48"/>
      <c r="J514" s="49"/>
    </row>
    <row r="515" spans="1:10" ht="12.75">
      <c r="A515" s="42"/>
      <c r="B515" s="80"/>
      <c r="C515" s="86"/>
      <c r="D515" s="48"/>
      <c r="E515" s="48"/>
      <c r="F515" s="49"/>
      <c r="G515" s="48"/>
      <c r="H515" s="49"/>
      <c r="I515" s="48"/>
      <c r="J515" s="49"/>
    </row>
    <row r="516" spans="1:10" ht="12.75">
      <c r="A516" s="42"/>
      <c r="B516" s="80"/>
      <c r="C516" s="86"/>
      <c r="D516" s="48"/>
      <c r="E516" s="48"/>
      <c r="F516" s="49"/>
      <c r="G516" s="48"/>
      <c r="H516" s="49"/>
      <c r="I516" s="48"/>
      <c r="J516" s="49"/>
    </row>
    <row r="517" spans="1:10" ht="12.75">
      <c r="A517" s="42"/>
      <c r="B517" s="80"/>
      <c r="C517" s="86"/>
      <c r="D517" s="48"/>
      <c r="E517" s="48"/>
      <c r="F517" s="49"/>
      <c r="G517" s="48"/>
      <c r="H517" s="49"/>
      <c r="I517" s="48"/>
      <c r="J517" s="49"/>
    </row>
    <row r="518" spans="1:10" ht="12.75">
      <c r="A518" s="42"/>
      <c r="B518" s="80"/>
      <c r="C518" s="86"/>
      <c r="D518" s="48"/>
      <c r="E518" s="48"/>
      <c r="F518" s="49"/>
      <c r="G518" s="48"/>
      <c r="H518" s="49"/>
      <c r="I518" s="48"/>
      <c r="J518" s="49"/>
    </row>
    <row r="519" spans="1:10" ht="12.75">
      <c r="A519" s="42"/>
      <c r="B519" s="80"/>
      <c r="C519" s="86"/>
      <c r="D519" s="48"/>
      <c r="E519" s="48"/>
      <c r="F519" s="49"/>
      <c r="G519" s="48"/>
      <c r="H519" s="49"/>
      <c r="I519" s="48"/>
      <c r="J519" s="49"/>
    </row>
    <row r="520" spans="1:10" ht="12.75">
      <c r="A520" s="42"/>
      <c r="B520" s="80"/>
      <c r="C520" s="86"/>
      <c r="D520" s="48"/>
      <c r="E520" s="48"/>
      <c r="F520" s="49"/>
      <c r="G520" s="48"/>
      <c r="H520" s="49"/>
      <c r="I520" s="48"/>
      <c r="J520" s="49"/>
    </row>
    <row r="521" spans="1:10" ht="12.75">
      <c r="A521" s="42" t="s">
        <v>207</v>
      </c>
      <c r="B521" s="80"/>
      <c r="C521" s="86"/>
      <c r="D521" s="48"/>
      <c r="E521" s="48"/>
      <c r="F521" s="49"/>
      <c r="G521" s="48"/>
      <c r="H521" s="49"/>
      <c r="I521" s="48"/>
      <c r="J521" s="49">
        <f>SUM(J495:J520)</f>
        <v>688880</v>
      </c>
    </row>
    <row r="522" spans="1:10" ht="12.75">
      <c r="A522" s="43"/>
      <c r="B522" s="80"/>
      <c r="C522" s="86"/>
      <c r="D522" s="48"/>
      <c r="E522" s="48"/>
      <c r="F522" s="49"/>
      <c r="G522" s="48"/>
      <c r="H522" s="49"/>
      <c r="I522" s="48"/>
      <c r="J522" s="49"/>
    </row>
    <row r="523" spans="1:10" ht="12.75">
      <c r="A523" s="43"/>
      <c r="B523" s="84"/>
      <c r="C523" s="88"/>
      <c r="D523" s="54"/>
      <c r="E523" s="54"/>
      <c r="F523" s="55"/>
      <c r="G523" s="54"/>
      <c r="H523" s="55"/>
      <c r="I523" s="54"/>
      <c r="J523" s="55"/>
    </row>
    <row r="524" spans="1:10" ht="12.75"/>
    <row r="525" spans="1:10" ht="12.75"/>
    <row r="526" spans="1:10" ht="12.75">
      <c r="A526" s="41" t="s">
        <v>204</v>
      </c>
      <c r="B526" s="41"/>
      <c r="C526" s="41"/>
      <c r="D526" s="41"/>
      <c r="E526" s="41"/>
      <c r="F526" s="41"/>
    </row>
    <row r="527" spans="1:10" ht="12.75"/>
    <row r="528" spans="1:10" ht="12.75"/>
    <row r="529" spans="1:10" ht="12.75">
      <c r="A529" s="42" t="s">
        <v>188</v>
      </c>
      <c r="B529" s="42" t="s">
        <v>189</v>
      </c>
      <c r="C529" s="42"/>
      <c r="D529" s="42"/>
      <c r="E529" s="42"/>
      <c r="F529" s="42"/>
      <c r="G529" s="43" t="s">
        <v>113</v>
      </c>
      <c r="H529" s="42" t="s">
        <v>205</v>
      </c>
      <c r="I529" s="42" t="s">
        <v>210</v>
      </c>
      <c r="J529" s="43"/>
    </row>
    <row r="530" spans="1:10" ht="12.75">
      <c r="A530" s="42" t="s">
        <v>191</v>
      </c>
      <c r="B530" s="89">
        <v>45973</v>
      </c>
      <c r="C530" s="42"/>
      <c r="D530" s="42"/>
      <c r="E530" s="42"/>
      <c r="F530" s="42"/>
      <c r="G530" s="43"/>
      <c r="H530" s="42" t="s">
        <v>192</v>
      </c>
      <c r="I530" s="91" t="s">
        <v>154</v>
      </c>
      <c r="J530" s="43"/>
    </row>
    <row r="531" spans="1:10" ht="12.75">
      <c r="A531" s="42"/>
      <c r="B531" s="42"/>
      <c r="C531" s="42"/>
      <c r="D531" s="42"/>
      <c r="E531" s="42"/>
      <c r="F531" s="42"/>
      <c r="G531" s="43"/>
      <c r="H531" s="43"/>
      <c r="I531" s="43"/>
      <c r="J531" s="43"/>
    </row>
    <row r="532" spans="1:10" ht="12.75">
      <c r="A532" s="42"/>
      <c r="B532" s="44" t="s">
        <v>193</v>
      </c>
      <c r="C532" s="44" t="s">
        <v>194</v>
      </c>
      <c r="D532" s="44" t="s">
        <v>195</v>
      </c>
      <c r="E532" s="44" t="s">
        <v>196</v>
      </c>
      <c r="F532" s="44" t="s">
        <v>197</v>
      </c>
      <c r="G532" s="44" t="s">
        <v>198</v>
      </c>
      <c r="H532" s="44" t="s">
        <v>199</v>
      </c>
      <c r="I532" s="44" t="s">
        <v>200</v>
      </c>
      <c r="J532" s="44" t="s">
        <v>199</v>
      </c>
    </row>
    <row r="533" spans="1:10" ht="12.75">
      <c r="A533" s="42"/>
      <c r="B533" s="79"/>
      <c r="C533" s="85"/>
      <c r="D533" s="45"/>
      <c r="E533" s="45"/>
      <c r="F533" s="46"/>
      <c r="G533" s="45"/>
      <c r="H533" s="46"/>
      <c r="I533" s="45"/>
      <c r="J533" s="47"/>
    </row>
    <row r="534" spans="1:10" ht="12.75">
      <c r="B534" s="82">
        <v>1</v>
      </c>
      <c r="C534" s="60" t="s">
        <v>209</v>
      </c>
      <c r="D534" s="48" t="s">
        <v>202</v>
      </c>
      <c r="E534" s="48"/>
      <c r="F534" s="69">
        <v>45973</v>
      </c>
      <c r="G534" s="48" t="s">
        <v>113</v>
      </c>
      <c r="H534" s="49"/>
      <c r="I534" s="48" t="s">
        <v>139</v>
      </c>
      <c r="J534" s="49">
        <v>98410</v>
      </c>
    </row>
    <row r="535" spans="1:10" ht="12.75">
      <c r="B535" s="82"/>
      <c r="C535" s="60"/>
      <c r="D535" s="48"/>
      <c r="E535" s="48"/>
      <c r="F535" s="49"/>
      <c r="G535" s="48"/>
      <c r="H535" s="49"/>
      <c r="I535" s="48"/>
      <c r="J535" s="49"/>
    </row>
    <row r="536" spans="1:10" ht="12.75">
      <c r="A536" s="42"/>
      <c r="B536" s="82"/>
      <c r="C536" s="60"/>
      <c r="D536" s="48"/>
      <c r="E536" s="48"/>
      <c r="F536" s="69"/>
      <c r="G536" s="48"/>
      <c r="H536" s="49"/>
      <c r="I536" s="48" t="s">
        <v>113</v>
      </c>
      <c r="J536" s="49" t="s">
        <v>113</v>
      </c>
    </row>
    <row r="537" spans="1:10" ht="12.75">
      <c r="A537" s="42"/>
      <c r="B537" s="82"/>
      <c r="C537" s="60"/>
      <c r="D537" s="48"/>
      <c r="E537" s="48"/>
      <c r="F537" s="49"/>
      <c r="G537" s="48"/>
      <c r="H537" s="49"/>
      <c r="I537" s="48"/>
      <c r="J537" s="49"/>
    </row>
    <row r="538" spans="1:10" ht="12.75">
      <c r="B538" s="82"/>
      <c r="C538" s="60"/>
      <c r="D538" s="48"/>
      <c r="E538" s="48"/>
      <c r="F538" s="69"/>
      <c r="G538" s="48"/>
      <c r="H538" s="49"/>
      <c r="I538" s="48"/>
      <c r="J538" s="49"/>
    </row>
    <row r="539" spans="1:10" ht="12.75">
      <c r="B539" s="82"/>
      <c r="C539" s="60"/>
      <c r="D539" s="48"/>
      <c r="E539" s="48"/>
      <c r="F539" s="49"/>
      <c r="G539" s="48"/>
      <c r="H539" s="49"/>
      <c r="I539" s="48"/>
      <c r="J539" s="49"/>
    </row>
    <row r="540" spans="1:10" ht="12.75">
      <c r="A540" s="42"/>
      <c r="B540" s="82"/>
      <c r="C540" s="60"/>
      <c r="D540" s="48"/>
      <c r="E540" s="48"/>
      <c r="F540" s="69"/>
      <c r="G540" s="48"/>
      <c r="H540" s="49"/>
      <c r="I540" s="48"/>
      <c r="J540" s="49"/>
    </row>
    <row r="541" spans="1:10" ht="12.75">
      <c r="A541" s="42"/>
      <c r="B541" s="80"/>
      <c r="C541" s="86"/>
      <c r="D541" s="48"/>
      <c r="E541" s="48"/>
      <c r="F541" s="49"/>
      <c r="G541" s="48"/>
      <c r="H541" s="49"/>
      <c r="I541" s="48"/>
      <c r="J541" s="49"/>
    </row>
    <row r="542" spans="1:10" ht="12.75">
      <c r="B542" s="80"/>
      <c r="C542" s="60"/>
      <c r="D542" s="48"/>
      <c r="E542" s="48"/>
      <c r="F542" s="69"/>
      <c r="G542" s="48"/>
      <c r="H542" s="49"/>
      <c r="I542" s="48"/>
      <c r="J542" s="49"/>
    </row>
    <row r="543" spans="1:10" ht="12.75">
      <c r="A543" s="42"/>
      <c r="B543" s="80"/>
      <c r="C543" s="86"/>
      <c r="D543" s="48"/>
      <c r="E543" s="48"/>
      <c r="F543" s="49"/>
      <c r="G543" s="48"/>
      <c r="H543" s="49"/>
      <c r="I543" s="48"/>
      <c r="J543" s="49"/>
    </row>
    <row r="544" spans="1:10" ht="12.75">
      <c r="A544" s="42"/>
      <c r="B544" s="80"/>
      <c r="C544" s="60"/>
      <c r="D544" s="48"/>
      <c r="E544" s="48"/>
      <c r="F544" s="69"/>
      <c r="G544" s="48"/>
      <c r="H544" s="49"/>
      <c r="I544" s="48"/>
      <c r="J544" s="49"/>
    </row>
    <row r="545" spans="1:10" ht="12.75">
      <c r="A545" s="42"/>
      <c r="B545" s="80"/>
      <c r="C545" s="86"/>
      <c r="D545" s="48"/>
      <c r="E545" s="48"/>
      <c r="F545" s="49"/>
      <c r="G545" s="48"/>
      <c r="H545" s="49"/>
      <c r="I545" s="48"/>
      <c r="J545" s="49"/>
    </row>
    <row r="546" spans="1:10" ht="12.75">
      <c r="A546" s="42"/>
      <c r="B546" s="80"/>
      <c r="C546" s="86"/>
      <c r="D546" s="48"/>
      <c r="E546" s="48"/>
      <c r="F546" s="49"/>
      <c r="G546" s="48"/>
      <c r="H546" s="49"/>
      <c r="I546" s="48"/>
      <c r="J546" s="49"/>
    </row>
    <row r="547" spans="1:10" ht="12.75">
      <c r="A547" s="42"/>
      <c r="B547" s="80"/>
      <c r="C547" s="86"/>
      <c r="D547" s="48"/>
      <c r="E547" s="48"/>
      <c r="F547" s="49"/>
      <c r="G547" s="48"/>
      <c r="H547" s="49"/>
      <c r="I547" s="48"/>
      <c r="J547" s="49"/>
    </row>
    <row r="548" spans="1:10" ht="12.75">
      <c r="A548" s="42"/>
      <c r="B548" s="80"/>
      <c r="C548" s="86"/>
      <c r="D548" s="48"/>
      <c r="E548" s="48"/>
      <c r="F548" s="49"/>
      <c r="G548" s="48"/>
      <c r="H548" s="49"/>
      <c r="I548" s="48"/>
      <c r="J548" s="49"/>
    </row>
    <row r="549" spans="1:10" ht="12.75">
      <c r="A549" s="42"/>
      <c r="B549" s="80"/>
      <c r="C549" s="86"/>
      <c r="D549" s="48"/>
      <c r="E549" s="48"/>
      <c r="F549" s="49"/>
      <c r="G549" s="48"/>
      <c r="H549" s="49"/>
      <c r="I549" s="48"/>
      <c r="J549" s="49"/>
    </row>
    <row r="550" spans="1:10" ht="12.75">
      <c r="A550" s="42"/>
      <c r="B550" s="80"/>
      <c r="C550" s="86"/>
      <c r="D550" s="48"/>
      <c r="E550" s="48"/>
      <c r="F550" s="49"/>
      <c r="G550" s="48"/>
      <c r="H550" s="49"/>
      <c r="I550" s="48"/>
      <c r="J550" s="49"/>
    </row>
    <row r="551" spans="1:10" ht="12.75">
      <c r="A551" s="42"/>
      <c r="B551" s="80"/>
      <c r="C551" s="86"/>
      <c r="D551" s="48"/>
      <c r="E551" s="48"/>
      <c r="F551" s="49"/>
      <c r="G551" s="48"/>
      <c r="H551" s="49"/>
      <c r="I551" s="48"/>
      <c r="J551" s="49"/>
    </row>
    <row r="552" spans="1:10" ht="12.75">
      <c r="A552" s="42"/>
      <c r="B552" s="80"/>
      <c r="C552" s="86"/>
      <c r="D552" s="48"/>
      <c r="E552" s="48"/>
      <c r="F552" s="49"/>
      <c r="G552" s="48"/>
      <c r="H552" s="49"/>
      <c r="I552" s="48"/>
      <c r="J552" s="49"/>
    </row>
    <row r="553" spans="1:10" ht="12.75">
      <c r="A553" s="42"/>
      <c r="B553" s="80"/>
      <c r="C553" s="86"/>
      <c r="D553" s="48"/>
      <c r="E553" s="48"/>
      <c r="F553" s="49"/>
      <c r="G553" s="48"/>
      <c r="H553" s="49"/>
      <c r="I553" s="48"/>
      <c r="J553" s="49"/>
    </row>
    <row r="554" spans="1:10" ht="12.75">
      <c r="A554" s="42"/>
      <c r="B554" s="80"/>
      <c r="C554" s="86"/>
      <c r="D554" s="48"/>
      <c r="E554" s="48"/>
      <c r="F554" s="49"/>
      <c r="G554" s="48"/>
      <c r="H554" s="49"/>
      <c r="I554" s="48"/>
      <c r="J554" s="49"/>
    </row>
    <row r="555" spans="1:10" ht="12.75">
      <c r="A555" s="42"/>
      <c r="B555" s="80"/>
      <c r="C555" s="86"/>
      <c r="D555" s="48"/>
      <c r="E555" s="48"/>
      <c r="F555" s="49"/>
      <c r="G555" s="48"/>
      <c r="H555" s="49"/>
      <c r="I555" s="48"/>
      <c r="J555" s="49"/>
    </row>
    <row r="556" spans="1:10" ht="12.75">
      <c r="A556" s="42"/>
      <c r="B556" s="80"/>
      <c r="C556" s="86"/>
      <c r="D556" s="48"/>
      <c r="E556" s="48"/>
      <c r="F556" s="49"/>
      <c r="G556" s="48"/>
      <c r="H556" s="49"/>
      <c r="I556" s="48"/>
      <c r="J556" s="49"/>
    </row>
    <row r="557" spans="1:10" ht="12.75">
      <c r="A557" s="42"/>
      <c r="B557" s="80"/>
      <c r="C557" s="86"/>
      <c r="D557" s="48"/>
      <c r="E557" s="48"/>
      <c r="F557" s="49"/>
      <c r="G557" s="48"/>
      <c r="H557" s="49"/>
      <c r="I557" s="48"/>
      <c r="J557" s="49"/>
    </row>
    <row r="558" spans="1:10" ht="12.75">
      <c r="A558" s="42"/>
      <c r="B558" s="80"/>
      <c r="C558" s="86"/>
      <c r="D558" s="48"/>
      <c r="E558" s="48"/>
      <c r="F558" s="49"/>
      <c r="G558" s="48"/>
      <c r="H558" s="49"/>
      <c r="I558" s="48"/>
      <c r="J558" s="49"/>
    </row>
    <row r="559" spans="1:10" ht="12.75">
      <c r="A559" s="42"/>
      <c r="B559" s="80"/>
      <c r="C559" s="86"/>
      <c r="D559" s="48"/>
      <c r="E559" s="48"/>
      <c r="F559" s="49"/>
      <c r="G559" s="48"/>
      <c r="H559" s="49"/>
      <c r="I559" s="48"/>
      <c r="J559" s="49"/>
    </row>
    <row r="560" spans="1:10" ht="12.75">
      <c r="A560" s="42" t="s">
        <v>207</v>
      </c>
      <c r="B560" s="80"/>
      <c r="C560" s="86"/>
      <c r="D560" s="48"/>
      <c r="E560" s="48"/>
      <c r="F560" s="49"/>
      <c r="G560" s="48"/>
      <c r="H560" s="49">
        <f>SUM(H534:H559)</f>
        <v>0</v>
      </c>
      <c r="I560" s="48"/>
      <c r="J560" s="49">
        <f>SUM(J534:J559)</f>
        <v>98410</v>
      </c>
    </row>
    <row r="561" spans="1:10" ht="12.75">
      <c r="A561" s="43"/>
      <c r="B561" s="80"/>
      <c r="C561" s="86"/>
      <c r="D561" s="48"/>
      <c r="E561" s="48"/>
      <c r="F561" s="49"/>
      <c r="G561" s="48"/>
      <c r="H561" s="49"/>
      <c r="I561" s="48"/>
      <c r="J561" s="49"/>
    </row>
    <row r="562" spans="1:10" ht="12.75">
      <c r="A562" s="43"/>
      <c r="B562" s="84"/>
      <c r="C562" s="88"/>
      <c r="D562" s="54"/>
      <c r="E562" s="54"/>
      <c r="F562" s="55"/>
      <c r="G562" s="54"/>
      <c r="H562" s="55"/>
      <c r="I562" s="54"/>
      <c r="J562" s="55"/>
    </row>
    <row r="563" spans="1:10" ht="12.75"/>
    <row r="564" spans="1:10" ht="12.75"/>
    <row r="565" spans="1:10" ht="12.75"/>
    <row r="566" spans="1:10" ht="12.75">
      <c r="A566" s="41" t="s">
        <v>187</v>
      </c>
      <c r="B566" s="41"/>
      <c r="C566" s="41"/>
      <c r="D566" s="41"/>
      <c r="E566" s="41"/>
      <c r="F566" s="41"/>
    </row>
    <row r="567" spans="1:10" ht="12.75">
      <c r="F567" s="68" t="s">
        <v>113</v>
      </c>
    </row>
    <row r="568" spans="1:10" ht="12.75"/>
    <row r="569" spans="1:10" ht="12.75">
      <c r="A569" s="42" t="s">
        <v>188</v>
      </c>
      <c r="B569" s="42" t="s">
        <v>189</v>
      </c>
      <c r="C569" s="42"/>
      <c r="D569" s="42"/>
      <c r="E569" s="42"/>
      <c r="F569" s="42"/>
      <c r="G569" s="43" t="s">
        <v>113</v>
      </c>
      <c r="H569" s="42" t="s">
        <v>175</v>
      </c>
      <c r="I569" s="90" t="s">
        <v>190</v>
      </c>
      <c r="J569" s="43"/>
    </row>
    <row r="570" spans="1:10" ht="12.75">
      <c r="A570" s="42" t="s">
        <v>191</v>
      </c>
      <c r="B570" s="89">
        <v>45974</v>
      </c>
      <c r="C570" s="42"/>
      <c r="D570" s="42"/>
      <c r="E570" s="42"/>
      <c r="F570" s="42"/>
      <c r="G570" s="43"/>
      <c r="H570" s="42" t="s">
        <v>192</v>
      </c>
      <c r="I570" s="91" t="s">
        <v>109</v>
      </c>
      <c r="J570" s="43"/>
    </row>
    <row r="571" spans="1:10" ht="12.75">
      <c r="A571" s="42"/>
      <c r="B571" s="42"/>
      <c r="C571" s="42"/>
      <c r="D571" s="42"/>
      <c r="E571" s="42"/>
      <c r="F571" s="42"/>
      <c r="G571" s="43"/>
      <c r="H571" s="43"/>
      <c r="I571" s="43"/>
      <c r="J571" s="43"/>
    </row>
    <row r="572" spans="1:10" ht="12.75">
      <c r="A572" s="42"/>
      <c r="B572" s="44" t="s">
        <v>193</v>
      </c>
      <c r="C572" s="44" t="s">
        <v>194</v>
      </c>
      <c r="D572" s="44" t="s">
        <v>195</v>
      </c>
      <c r="E572" s="44" t="s">
        <v>196</v>
      </c>
      <c r="F572" s="44" t="s">
        <v>197</v>
      </c>
      <c r="G572" s="44" t="s">
        <v>198</v>
      </c>
      <c r="H572" s="44" t="s">
        <v>199</v>
      </c>
      <c r="I572" s="44" t="s">
        <v>200</v>
      </c>
      <c r="J572" s="44" t="s">
        <v>199</v>
      </c>
    </row>
    <row r="573" spans="1:10" ht="12.75">
      <c r="A573" s="42"/>
      <c r="B573" s="79"/>
      <c r="C573" s="85"/>
      <c r="D573" s="45"/>
      <c r="E573" s="45"/>
      <c r="F573" s="46"/>
      <c r="G573" s="45"/>
      <c r="H573" s="46"/>
      <c r="I573" s="45"/>
      <c r="J573" s="47"/>
    </row>
    <row r="574" spans="1:10" ht="12.75">
      <c r="B574" s="80">
        <v>1</v>
      </c>
      <c r="C574" s="86" t="s">
        <v>201</v>
      </c>
      <c r="D574" s="48" t="s">
        <v>202</v>
      </c>
      <c r="E574" s="48"/>
      <c r="F574" s="69">
        <v>45974</v>
      </c>
      <c r="G574" s="48" t="s">
        <v>125</v>
      </c>
      <c r="H574" s="49">
        <v>141817</v>
      </c>
      <c r="I574" s="48" t="s">
        <v>113</v>
      </c>
      <c r="J574" s="49" t="s">
        <v>113</v>
      </c>
    </row>
    <row r="575" spans="1:10" ht="12.75">
      <c r="A575" s="42"/>
      <c r="B575" s="80"/>
      <c r="C575" s="86"/>
      <c r="D575" s="48"/>
      <c r="E575" s="48"/>
      <c r="F575" s="49"/>
      <c r="G575" s="48"/>
      <c r="H575" s="49"/>
      <c r="I575" s="48"/>
      <c r="J575" s="49"/>
    </row>
    <row r="576" spans="1:10" ht="12.75">
      <c r="B576" s="81"/>
      <c r="C576" s="59"/>
      <c r="D576" s="48"/>
      <c r="E576" s="48"/>
      <c r="F576" s="69"/>
      <c r="G576" s="48"/>
      <c r="H576" s="49"/>
      <c r="I576" s="48"/>
      <c r="J576" s="49"/>
    </row>
    <row r="577" spans="1:11" ht="12.75">
      <c r="B577" s="81"/>
      <c r="C577" s="59"/>
      <c r="D577" s="48"/>
      <c r="E577" s="48"/>
      <c r="F577" s="49"/>
      <c r="G577" s="48"/>
      <c r="H577" s="49"/>
      <c r="I577" s="48"/>
      <c r="J577" s="49"/>
    </row>
    <row r="578" spans="1:11" ht="12.75">
      <c r="A578" s="42"/>
      <c r="B578" s="81"/>
      <c r="C578" s="104"/>
      <c r="D578" s="48"/>
      <c r="E578" s="48"/>
      <c r="F578" s="69"/>
      <c r="G578" s="48"/>
      <c r="H578" s="49"/>
      <c r="I578" s="48"/>
      <c r="J578" s="49"/>
    </row>
    <row r="579" spans="1:11" ht="12.75">
      <c r="A579" s="42"/>
      <c r="B579" s="81"/>
      <c r="C579" s="59"/>
      <c r="D579" s="48"/>
      <c r="E579" s="48"/>
      <c r="F579" s="49"/>
      <c r="G579" s="48"/>
      <c r="H579" s="49"/>
      <c r="I579" s="48"/>
      <c r="J579" s="49"/>
    </row>
    <row r="580" spans="1:11" ht="12.75">
      <c r="A580" s="42"/>
      <c r="B580" s="82"/>
      <c r="C580" s="60"/>
      <c r="D580" s="48"/>
      <c r="E580" s="48"/>
      <c r="F580" s="69"/>
      <c r="G580" s="48"/>
      <c r="H580" s="49"/>
      <c r="I580" s="48"/>
      <c r="J580" s="49"/>
    </row>
    <row r="581" spans="1:11" ht="12.75">
      <c r="B581" s="80"/>
      <c r="C581" s="86"/>
      <c r="D581" s="48"/>
      <c r="E581" s="48"/>
      <c r="F581" s="49"/>
      <c r="G581" s="48"/>
      <c r="H581" s="49"/>
      <c r="I581" s="48"/>
      <c r="J581" s="49"/>
    </row>
    <row r="582" spans="1:11" ht="12.75">
      <c r="A582" s="42"/>
      <c r="B582" s="80"/>
      <c r="C582" s="86"/>
      <c r="D582" s="48"/>
      <c r="E582" s="48"/>
      <c r="F582" s="49"/>
      <c r="G582" s="48"/>
      <c r="H582" s="49"/>
      <c r="I582" s="48"/>
      <c r="J582" s="49"/>
    </row>
    <row r="583" spans="1:11" ht="12.75">
      <c r="A583" s="42"/>
      <c r="B583" s="80"/>
      <c r="C583" s="86"/>
      <c r="D583" s="48"/>
      <c r="E583" s="48"/>
      <c r="F583" s="49"/>
      <c r="G583" s="48"/>
      <c r="H583" s="49"/>
      <c r="I583" s="48"/>
      <c r="J583" s="49"/>
    </row>
    <row r="584" spans="1:11" ht="12.75">
      <c r="A584" s="42"/>
      <c r="B584" s="80"/>
      <c r="C584" s="86"/>
      <c r="D584" s="48"/>
      <c r="E584" s="48"/>
      <c r="F584" s="49"/>
      <c r="G584" s="48"/>
      <c r="H584" s="49"/>
      <c r="I584" s="48"/>
      <c r="J584" s="49"/>
    </row>
    <row r="585" spans="1:11" ht="12.75">
      <c r="A585" s="42"/>
      <c r="B585" s="80"/>
      <c r="C585" s="86"/>
      <c r="D585" s="48"/>
      <c r="E585" s="48"/>
      <c r="F585" s="49"/>
      <c r="G585" s="48"/>
      <c r="H585" s="49"/>
      <c r="I585" s="48"/>
      <c r="J585" s="49"/>
    </row>
    <row r="586" spans="1:11" ht="12.75">
      <c r="A586" s="42"/>
      <c r="B586" s="80"/>
      <c r="C586" s="86"/>
      <c r="D586" s="48"/>
      <c r="E586" s="48"/>
      <c r="F586" s="49"/>
      <c r="G586" s="48"/>
      <c r="H586" s="49"/>
      <c r="I586" s="48"/>
      <c r="J586" s="49"/>
    </row>
    <row r="587" spans="1:11" ht="12.75">
      <c r="A587" s="50"/>
      <c r="B587" s="83"/>
      <c r="C587" s="87"/>
      <c r="D587" s="51"/>
      <c r="E587" s="51"/>
      <c r="F587" s="52"/>
      <c r="G587" s="51"/>
      <c r="H587" s="52"/>
      <c r="I587" s="51"/>
      <c r="J587" s="52"/>
      <c r="K587" s="53"/>
    </row>
    <row r="588" spans="1:11" ht="12.75">
      <c r="A588" s="42"/>
      <c r="B588" s="80"/>
      <c r="C588" s="86"/>
      <c r="D588" s="48"/>
      <c r="E588" s="48"/>
      <c r="F588" s="49"/>
      <c r="G588" s="48"/>
      <c r="H588" s="49"/>
      <c r="I588" s="48"/>
      <c r="J588" s="49"/>
    </row>
    <row r="589" spans="1:11" ht="12.75">
      <c r="A589" s="42"/>
      <c r="B589" s="80"/>
      <c r="C589" s="86"/>
      <c r="D589" s="48"/>
      <c r="E589" s="48"/>
      <c r="F589" s="49"/>
      <c r="G589" s="48"/>
      <c r="H589" s="49"/>
      <c r="I589" s="48"/>
      <c r="J589" s="49"/>
    </row>
    <row r="590" spans="1:11" ht="12.75">
      <c r="A590" s="42"/>
      <c r="B590" s="80"/>
      <c r="C590" s="86"/>
      <c r="D590" s="48"/>
      <c r="E590" s="48"/>
      <c r="F590" s="49"/>
      <c r="G590" s="48"/>
      <c r="H590" s="49"/>
      <c r="I590" s="48"/>
      <c r="J590" s="49"/>
    </row>
    <row r="591" spans="1:11" ht="12.75">
      <c r="A591" s="42"/>
      <c r="B591" s="80"/>
      <c r="C591" s="86"/>
      <c r="D591" s="48"/>
      <c r="E591" s="48"/>
      <c r="F591" s="49"/>
      <c r="G591" s="48"/>
      <c r="H591" s="49"/>
      <c r="I591" s="48"/>
      <c r="J591" s="49"/>
    </row>
    <row r="592" spans="1:11" ht="12.75">
      <c r="A592" s="42"/>
      <c r="B592" s="80"/>
      <c r="C592" s="86"/>
      <c r="D592" s="48"/>
      <c r="E592" s="48"/>
      <c r="F592" s="49"/>
      <c r="G592" s="48"/>
      <c r="H592" s="49"/>
      <c r="I592" s="48"/>
      <c r="J592" s="49"/>
    </row>
    <row r="593" spans="1:10" ht="12.75">
      <c r="A593" s="42"/>
      <c r="B593" s="80"/>
      <c r="C593" s="86"/>
      <c r="D593" s="48"/>
      <c r="E593" s="48"/>
      <c r="F593" s="49"/>
      <c r="G593" s="48"/>
      <c r="H593" s="49"/>
      <c r="I593" s="48"/>
      <c r="J593" s="49"/>
    </row>
    <row r="594" spans="1:10" ht="12.75">
      <c r="A594" s="42"/>
      <c r="B594" s="80"/>
      <c r="C594" s="86"/>
      <c r="D594" s="48"/>
      <c r="E594" s="48"/>
      <c r="F594" s="49"/>
      <c r="G594" s="48"/>
      <c r="H594" s="49"/>
      <c r="I594" s="48"/>
      <c r="J594" s="49"/>
    </row>
    <row r="595" spans="1:10" ht="12.75">
      <c r="A595" s="42"/>
      <c r="B595" s="80"/>
      <c r="C595" s="86"/>
      <c r="D595" s="48"/>
      <c r="E595" s="48"/>
      <c r="F595" s="49"/>
      <c r="G595" s="48"/>
      <c r="H595" s="49"/>
      <c r="I595" s="48"/>
      <c r="J595" s="49"/>
    </row>
    <row r="596" spans="1:10" ht="12.75">
      <c r="A596" s="42"/>
      <c r="B596" s="80"/>
      <c r="C596" s="86"/>
      <c r="D596" s="48"/>
      <c r="E596" s="48"/>
      <c r="F596" s="49"/>
      <c r="G596" s="48"/>
      <c r="H596" s="49"/>
      <c r="I596" s="48"/>
      <c r="J596" s="49"/>
    </row>
    <row r="597" spans="1:10" ht="12.75">
      <c r="A597" s="42"/>
      <c r="B597" s="80"/>
      <c r="C597" s="86"/>
      <c r="D597" s="48"/>
      <c r="E597" s="48"/>
      <c r="F597" s="49"/>
      <c r="G597" s="48"/>
      <c r="H597" s="49"/>
      <c r="I597" s="48"/>
      <c r="J597" s="49"/>
    </row>
    <row r="598" spans="1:10" ht="12.75">
      <c r="A598" s="42"/>
      <c r="B598" s="80"/>
      <c r="C598" s="86"/>
      <c r="D598" s="48"/>
      <c r="E598" s="48"/>
      <c r="F598" s="49"/>
      <c r="G598" s="48"/>
      <c r="H598" s="49"/>
      <c r="I598" s="48"/>
      <c r="J598" s="49"/>
    </row>
    <row r="599" spans="1:10" ht="12.75">
      <c r="A599" s="42"/>
      <c r="B599" s="80"/>
      <c r="C599" s="86"/>
      <c r="D599" s="48"/>
      <c r="E599" s="48"/>
      <c r="F599" s="49"/>
      <c r="G599" s="48"/>
      <c r="H599" s="49"/>
      <c r="I599" s="48"/>
      <c r="J599" s="49"/>
    </row>
    <row r="600" spans="1:10" ht="12.75">
      <c r="A600" s="42"/>
      <c r="B600" s="80"/>
      <c r="C600" s="86"/>
      <c r="D600" s="48"/>
      <c r="E600" s="48"/>
      <c r="F600" s="49"/>
      <c r="G600" s="48"/>
      <c r="H600" s="49"/>
      <c r="I600" s="48"/>
      <c r="J600" s="49"/>
    </row>
    <row r="601" spans="1:10" ht="12.75">
      <c r="A601" s="42"/>
      <c r="B601" s="80"/>
      <c r="C601" s="86"/>
      <c r="D601" s="48"/>
      <c r="E601" s="48"/>
      <c r="F601" s="49"/>
      <c r="G601" s="48"/>
      <c r="H601" s="49"/>
      <c r="I601" s="48"/>
      <c r="J601" s="49"/>
    </row>
    <row r="602" spans="1:10" ht="12.75">
      <c r="A602" s="42"/>
      <c r="B602" s="80"/>
      <c r="C602" s="86"/>
      <c r="D602" s="48"/>
      <c r="E602" s="48"/>
      <c r="F602" s="49"/>
      <c r="G602" s="48"/>
      <c r="H602" s="49"/>
      <c r="I602" s="48"/>
      <c r="J602" s="49"/>
    </row>
    <row r="603" spans="1:10" ht="12.75">
      <c r="A603" s="42" t="s">
        <v>203</v>
      </c>
      <c r="B603" s="80"/>
      <c r="C603" s="86"/>
      <c r="D603" s="48"/>
      <c r="E603" s="48"/>
      <c r="F603" s="49"/>
      <c r="G603" s="48"/>
      <c r="H603" s="49">
        <f>SUM(H574:H602)</f>
        <v>141817</v>
      </c>
      <c r="I603" s="48"/>
      <c r="J603" s="49">
        <f>SUM(J574:J601)</f>
        <v>0</v>
      </c>
    </row>
    <row r="604" spans="1:10" ht="12.75">
      <c r="A604" s="43"/>
      <c r="B604" s="80"/>
      <c r="C604" s="86"/>
      <c r="D604" s="48"/>
      <c r="E604" s="48"/>
      <c r="F604" s="49"/>
      <c r="G604" s="48"/>
      <c r="H604" s="49"/>
      <c r="I604" s="48"/>
      <c r="J604" s="49"/>
    </row>
    <row r="605" spans="1:10" ht="12.75">
      <c r="A605" s="43"/>
      <c r="B605" s="84"/>
      <c r="C605" s="88"/>
      <c r="D605" s="54"/>
      <c r="E605" s="54"/>
      <c r="F605" s="55"/>
      <c r="G605" s="54"/>
      <c r="H605" s="55"/>
      <c r="I605" s="54"/>
      <c r="J605" s="55"/>
    </row>
    <row r="606" spans="1:10" ht="12.75"/>
    <row r="607" spans="1:10" ht="12.75"/>
    <row r="608" spans="1:10" ht="12.75">
      <c r="A608" s="41" t="s">
        <v>204</v>
      </c>
      <c r="B608" s="41"/>
      <c r="C608" s="41"/>
      <c r="D608" s="41"/>
      <c r="E608" s="41"/>
      <c r="F608" s="41"/>
    </row>
    <row r="609" spans="1:10" ht="12.75"/>
    <row r="610" spans="1:10" ht="12.75"/>
    <row r="611" spans="1:10" ht="12.75">
      <c r="A611" s="42" t="s">
        <v>188</v>
      </c>
      <c r="B611" s="42" t="s">
        <v>189</v>
      </c>
      <c r="C611" s="42"/>
      <c r="D611" s="42"/>
      <c r="E611" s="42"/>
      <c r="F611" s="42"/>
      <c r="G611" s="43" t="s">
        <v>113</v>
      </c>
      <c r="H611" s="42" t="s">
        <v>205</v>
      </c>
      <c r="I611" s="42" t="s">
        <v>208</v>
      </c>
      <c r="J611" s="43"/>
    </row>
    <row r="612" spans="1:10" ht="12.75">
      <c r="A612" s="42" t="s">
        <v>191</v>
      </c>
      <c r="B612" s="89">
        <v>45974</v>
      </c>
      <c r="C612" s="42"/>
      <c r="D612" s="42"/>
      <c r="E612" s="42"/>
      <c r="F612" s="42"/>
      <c r="G612" s="43"/>
      <c r="H612" s="42" t="s">
        <v>192</v>
      </c>
      <c r="I612" s="91" t="s">
        <v>137</v>
      </c>
      <c r="J612" s="43"/>
    </row>
    <row r="613" spans="1:10" ht="12.75">
      <c r="A613" s="42"/>
      <c r="B613" s="42"/>
      <c r="C613" s="42"/>
      <c r="D613" s="42"/>
      <c r="E613" s="42"/>
      <c r="F613" s="42"/>
      <c r="G613" s="43"/>
      <c r="H613" s="43"/>
      <c r="I613" s="43"/>
      <c r="J613" s="43"/>
    </row>
    <row r="614" spans="1:10" ht="12.75">
      <c r="A614" s="42"/>
      <c r="B614" s="44" t="s">
        <v>193</v>
      </c>
      <c r="C614" s="44" t="s">
        <v>194</v>
      </c>
      <c r="D614" s="44" t="s">
        <v>195</v>
      </c>
      <c r="E614" s="44" t="s">
        <v>196</v>
      </c>
      <c r="F614" s="44" t="s">
        <v>197</v>
      </c>
      <c r="G614" s="44" t="s">
        <v>198</v>
      </c>
      <c r="H614" s="44" t="s">
        <v>199</v>
      </c>
      <c r="I614" s="44" t="s">
        <v>200</v>
      </c>
      <c r="J614" s="44" t="s">
        <v>199</v>
      </c>
    </row>
    <row r="615" spans="1:10" ht="12.75">
      <c r="A615" s="42"/>
      <c r="B615" s="79"/>
      <c r="C615" s="85"/>
      <c r="D615" s="45"/>
      <c r="E615" s="45"/>
      <c r="F615" s="46"/>
      <c r="G615" s="45"/>
      <c r="H615" s="46"/>
      <c r="I615" s="45"/>
      <c r="J615" s="47"/>
    </row>
    <row r="616" spans="1:10" ht="12.75">
      <c r="B616" s="82">
        <v>1</v>
      </c>
      <c r="C616" s="60" t="s">
        <v>209</v>
      </c>
      <c r="D616" s="48" t="s">
        <v>202</v>
      </c>
      <c r="E616" s="48"/>
      <c r="F616" s="69">
        <v>45974</v>
      </c>
      <c r="G616" s="48" t="s">
        <v>113</v>
      </c>
      <c r="H616" s="49"/>
      <c r="I616" s="48" t="s">
        <v>139</v>
      </c>
      <c r="J616" s="49">
        <v>141817</v>
      </c>
    </row>
    <row r="617" spans="1:10" ht="12.75">
      <c r="B617" s="82"/>
      <c r="C617" s="60"/>
      <c r="D617" s="48"/>
      <c r="E617" s="48"/>
      <c r="F617" s="49"/>
      <c r="G617" s="48"/>
      <c r="H617" s="49"/>
      <c r="I617" s="48"/>
      <c r="J617" s="49"/>
    </row>
    <row r="618" spans="1:10" ht="12.75">
      <c r="A618" s="42"/>
      <c r="B618" s="82"/>
      <c r="C618" s="60"/>
      <c r="D618" s="48"/>
      <c r="E618" s="48"/>
      <c r="F618" s="69"/>
      <c r="G618" s="48"/>
      <c r="H618" s="49"/>
      <c r="I618" s="48"/>
      <c r="J618" s="49"/>
    </row>
    <row r="619" spans="1:10" ht="12.75">
      <c r="A619" s="42"/>
      <c r="B619" s="82"/>
      <c r="C619" s="60"/>
      <c r="D619" s="48"/>
      <c r="E619" s="48"/>
      <c r="F619" s="49"/>
      <c r="G619" s="48"/>
      <c r="H619" s="49"/>
      <c r="I619" s="48"/>
      <c r="J619" s="49"/>
    </row>
    <row r="620" spans="1:10" ht="12.75">
      <c r="B620" s="82"/>
      <c r="C620" s="60"/>
      <c r="D620" s="48"/>
      <c r="E620" s="48"/>
      <c r="F620" s="69"/>
      <c r="G620" s="48"/>
      <c r="H620" s="49"/>
      <c r="I620" s="48"/>
      <c r="J620" s="49"/>
    </row>
    <row r="621" spans="1:10" ht="12.75">
      <c r="B621" s="82"/>
      <c r="C621" s="60"/>
      <c r="D621" s="48"/>
      <c r="E621" s="48"/>
      <c r="F621" s="49"/>
      <c r="G621" s="48"/>
      <c r="H621" s="49"/>
      <c r="I621" s="48"/>
      <c r="J621" s="49"/>
    </row>
    <row r="622" spans="1:10" ht="12.75">
      <c r="A622" s="42"/>
      <c r="B622" s="82"/>
      <c r="C622" s="60"/>
      <c r="D622" s="48"/>
      <c r="E622" s="48"/>
      <c r="F622" s="69"/>
      <c r="G622" s="48"/>
      <c r="H622" s="49"/>
      <c r="I622" s="48"/>
      <c r="J622" s="49"/>
    </row>
    <row r="623" spans="1:10" ht="12.75">
      <c r="A623" s="42"/>
      <c r="B623" s="80"/>
      <c r="C623" s="86"/>
      <c r="D623" s="48"/>
      <c r="E623" s="48"/>
      <c r="F623" s="49"/>
      <c r="G623" s="48"/>
      <c r="H623" s="49"/>
      <c r="I623" s="48"/>
      <c r="J623" s="49"/>
    </row>
    <row r="624" spans="1:10" ht="12.75">
      <c r="B624" s="80"/>
      <c r="C624" s="60"/>
      <c r="D624" s="48"/>
      <c r="E624" s="48"/>
      <c r="F624" s="69"/>
      <c r="G624" s="48"/>
      <c r="H624" s="49"/>
      <c r="I624" s="48"/>
      <c r="J624" s="49"/>
    </row>
    <row r="625" spans="1:10" ht="12.75">
      <c r="A625" s="42"/>
      <c r="B625" s="80"/>
      <c r="C625" s="86"/>
      <c r="D625" s="48"/>
      <c r="E625" s="48"/>
      <c r="F625" s="49"/>
      <c r="G625" s="48"/>
      <c r="H625" s="49"/>
      <c r="I625" s="48"/>
      <c r="J625" s="49"/>
    </row>
    <row r="626" spans="1:10" ht="12.75">
      <c r="A626" s="42"/>
      <c r="B626" s="80"/>
      <c r="C626" s="60"/>
      <c r="D626" s="48"/>
      <c r="E626" s="48"/>
      <c r="F626" s="69"/>
      <c r="G626" s="48"/>
      <c r="H626" s="49"/>
      <c r="I626" s="48"/>
      <c r="J626" s="49"/>
    </row>
    <row r="627" spans="1:10" ht="12.75">
      <c r="A627" s="42"/>
      <c r="B627" s="80"/>
      <c r="C627" s="86"/>
      <c r="D627" s="48"/>
      <c r="E627" s="48"/>
      <c r="F627" s="49"/>
      <c r="G627" s="48"/>
      <c r="H627" s="49"/>
      <c r="I627" s="48"/>
      <c r="J627" s="49"/>
    </row>
    <row r="628" spans="1:10" ht="12.75">
      <c r="A628" s="42"/>
      <c r="B628" s="80"/>
      <c r="C628" s="86"/>
      <c r="D628" s="48"/>
      <c r="E628" s="48"/>
      <c r="F628" s="49"/>
      <c r="G628" s="48"/>
      <c r="H628" s="49"/>
      <c r="I628" s="48"/>
      <c r="J628" s="49"/>
    </row>
    <row r="629" spans="1:10" ht="12.75">
      <c r="A629" s="42"/>
      <c r="B629" s="80"/>
      <c r="C629" s="86"/>
      <c r="D629" s="48"/>
      <c r="E629" s="48"/>
      <c r="F629" s="49"/>
      <c r="G629" s="48"/>
      <c r="H629" s="49"/>
      <c r="I629" s="48"/>
      <c r="J629" s="49"/>
    </row>
    <row r="630" spans="1:10" ht="12.75">
      <c r="A630" s="42"/>
      <c r="B630" s="80"/>
      <c r="C630" s="86"/>
      <c r="D630" s="48"/>
      <c r="E630" s="48"/>
      <c r="F630" s="49"/>
      <c r="G630" s="48"/>
      <c r="H630" s="49"/>
      <c r="I630" s="48"/>
      <c r="J630" s="49"/>
    </row>
    <row r="631" spans="1:10" ht="12.75">
      <c r="A631" s="42"/>
      <c r="B631" s="80"/>
      <c r="C631" s="86"/>
      <c r="D631" s="48"/>
      <c r="E631" s="48"/>
      <c r="F631" s="49"/>
      <c r="G631" s="48"/>
      <c r="H631" s="49"/>
      <c r="I631" s="48"/>
      <c r="J631" s="49"/>
    </row>
    <row r="632" spans="1:10" ht="12.75">
      <c r="A632" s="42"/>
      <c r="B632" s="80"/>
      <c r="C632" s="86"/>
      <c r="D632" s="48"/>
      <c r="E632" s="48"/>
      <c r="F632" s="49"/>
      <c r="G632" s="48"/>
      <c r="H632" s="49"/>
      <c r="I632" s="48"/>
      <c r="J632" s="49"/>
    </row>
    <row r="633" spans="1:10" ht="12.75">
      <c r="A633" s="42"/>
      <c r="B633" s="80"/>
      <c r="C633" s="86"/>
      <c r="D633" s="48"/>
      <c r="E633" s="48"/>
      <c r="F633" s="49"/>
      <c r="G633" s="48"/>
      <c r="H633" s="49"/>
      <c r="I633" s="48"/>
      <c r="J633" s="49"/>
    </row>
    <row r="634" spans="1:10" ht="12.75">
      <c r="A634" s="42"/>
      <c r="B634" s="80"/>
      <c r="C634" s="86"/>
      <c r="D634" s="48"/>
      <c r="E634" s="48"/>
      <c r="F634" s="49"/>
      <c r="G634" s="48"/>
      <c r="H634" s="49"/>
      <c r="I634" s="48"/>
      <c r="J634" s="49"/>
    </row>
    <row r="635" spans="1:10" ht="12.75">
      <c r="A635" s="42"/>
      <c r="B635" s="80"/>
      <c r="C635" s="86"/>
      <c r="D635" s="48"/>
      <c r="E635" s="48"/>
      <c r="F635" s="49"/>
      <c r="G635" s="48"/>
      <c r="H635" s="49"/>
      <c r="I635" s="48"/>
      <c r="J635" s="49"/>
    </row>
    <row r="636" spans="1:10" ht="12.75">
      <c r="A636" s="42"/>
      <c r="B636" s="80"/>
      <c r="C636" s="86"/>
      <c r="D636" s="48"/>
      <c r="E636" s="48"/>
      <c r="F636" s="49"/>
      <c r="G636" s="48"/>
      <c r="H636" s="49"/>
      <c r="I636" s="48"/>
      <c r="J636" s="49"/>
    </row>
    <row r="637" spans="1:10" ht="12.75">
      <c r="A637" s="42"/>
      <c r="B637" s="80"/>
      <c r="C637" s="86"/>
      <c r="D637" s="48"/>
      <c r="E637" s="48"/>
      <c r="F637" s="49"/>
      <c r="G637" s="48"/>
      <c r="H637" s="49"/>
      <c r="I637" s="48"/>
      <c r="J637" s="49"/>
    </row>
    <row r="638" spans="1:10" ht="12.75">
      <c r="A638" s="42"/>
      <c r="B638" s="80"/>
      <c r="C638" s="86"/>
      <c r="D638" s="48"/>
      <c r="E638" s="48"/>
      <c r="F638" s="49"/>
      <c r="G638" s="48"/>
      <c r="H638" s="49"/>
      <c r="I638" s="48"/>
      <c r="J638" s="49"/>
    </row>
    <row r="639" spans="1:10" ht="12.75">
      <c r="A639" s="42"/>
      <c r="B639" s="80"/>
      <c r="C639" s="86"/>
      <c r="D639" s="48"/>
      <c r="E639" s="48"/>
      <c r="F639" s="49"/>
      <c r="G639" s="48"/>
      <c r="H639" s="49"/>
      <c r="I639" s="48"/>
      <c r="J639" s="49"/>
    </row>
    <row r="640" spans="1:10" ht="12.75">
      <c r="A640" s="42"/>
      <c r="B640" s="80"/>
      <c r="C640" s="86"/>
      <c r="D640" s="48"/>
      <c r="E640" s="48"/>
      <c r="F640" s="49"/>
      <c r="G640" s="48"/>
      <c r="H640" s="49"/>
      <c r="I640" s="48"/>
      <c r="J640" s="49"/>
    </row>
    <row r="641" spans="1:10" ht="12.75">
      <c r="A641" s="42"/>
      <c r="B641" s="80"/>
      <c r="C641" s="86"/>
      <c r="D641" s="48"/>
      <c r="E641" s="48"/>
      <c r="F641" s="49"/>
      <c r="G641" s="48"/>
      <c r="H641" s="49"/>
      <c r="I641" s="48"/>
      <c r="J641" s="49"/>
    </row>
    <row r="642" spans="1:10" ht="12.75">
      <c r="A642" s="42" t="s">
        <v>207</v>
      </c>
      <c r="B642" s="80"/>
      <c r="C642" s="86"/>
      <c r="D642" s="48"/>
      <c r="E642" s="48"/>
      <c r="F642" s="49"/>
      <c r="G642" s="48"/>
      <c r="H642" s="49"/>
      <c r="I642" s="48"/>
      <c r="J642" s="49">
        <f>SUM(J616:J641)</f>
        <v>141817</v>
      </c>
    </row>
    <row r="643" spans="1:10" ht="12.75">
      <c r="A643" s="43"/>
      <c r="B643" s="80"/>
      <c r="C643" s="86"/>
      <c r="D643" s="48"/>
      <c r="E643" s="48"/>
      <c r="F643" s="49"/>
      <c r="G643" s="48"/>
      <c r="H643" s="49"/>
      <c r="I643" s="48"/>
      <c r="J643" s="49"/>
    </row>
    <row r="644" spans="1:10" ht="12.75">
      <c r="A644" s="43"/>
      <c r="B644" s="84"/>
      <c r="C644" s="88"/>
      <c r="D644" s="54"/>
      <c r="E644" s="54"/>
      <c r="F644" s="55"/>
      <c r="G644" s="54"/>
      <c r="H644" s="55"/>
      <c r="I644" s="54"/>
      <c r="J644" s="55"/>
    </row>
    <row r="645" spans="1:10" ht="12.75"/>
    <row r="646" spans="1:10" ht="12.75"/>
    <row r="647" spans="1:10" ht="12.75">
      <c r="A647" s="41" t="s">
        <v>204</v>
      </c>
      <c r="B647" s="41"/>
      <c r="C647" s="41"/>
      <c r="D647" s="41"/>
      <c r="E647" s="41"/>
      <c r="F647" s="41"/>
    </row>
    <row r="648" spans="1:10" ht="12.75"/>
    <row r="649" spans="1:10" ht="12.75"/>
    <row r="650" spans="1:10" ht="12.75">
      <c r="A650" s="42" t="s">
        <v>188</v>
      </c>
      <c r="B650" s="42" t="s">
        <v>189</v>
      </c>
      <c r="C650" s="42"/>
      <c r="D650" s="42"/>
      <c r="E650" s="42"/>
      <c r="F650" s="42"/>
      <c r="G650" s="43" t="s">
        <v>113</v>
      </c>
      <c r="H650" s="42" t="s">
        <v>205</v>
      </c>
      <c r="I650" s="42" t="s">
        <v>210</v>
      </c>
      <c r="J650" s="43"/>
    </row>
    <row r="651" spans="1:10" ht="12.75">
      <c r="A651" s="42" t="s">
        <v>191</v>
      </c>
      <c r="B651" s="89">
        <v>45974</v>
      </c>
      <c r="C651" s="42"/>
      <c r="D651" s="42"/>
      <c r="E651" s="42"/>
      <c r="F651" s="42"/>
      <c r="G651" s="43"/>
      <c r="H651" s="42" t="s">
        <v>192</v>
      </c>
      <c r="I651" s="91" t="s">
        <v>154</v>
      </c>
      <c r="J651" s="43"/>
    </row>
    <row r="652" spans="1:10" ht="12.75">
      <c r="A652" s="42"/>
      <c r="B652" s="42"/>
      <c r="C652" s="42"/>
      <c r="D652" s="42"/>
      <c r="E652" s="42"/>
      <c r="F652" s="42"/>
      <c r="G652" s="43"/>
      <c r="H652" s="43"/>
      <c r="I652" s="43"/>
      <c r="J652" s="43"/>
    </row>
    <row r="653" spans="1:10" ht="12.75">
      <c r="A653" s="42"/>
      <c r="B653" s="44" t="s">
        <v>193</v>
      </c>
      <c r="C653" s="44" t="s">
        <v>194</v>
      </c>
      <c r="D653" s="44" t="s">
        <v>195</v>
      </c>
      <c r="E653" s="44" t="s">
        <v>196</v>
      </c>
      <c r="F653" s="44" t="s">
        <v>197</v>
      </c>
      <c r="G653" s="44" t="s">
        <v>198</v>
      </c>
      <c r="H653" s="44" t="s">
        <v>199</v>
      </c>
      <c r="I653" s="44" t="s">
        <v>200</v>
      </c>
      <c r="J653" s="44" t="s">
        <v>199</v>
      </c>
    </row>
    <row r="654" spans="1:10" ht="12.75">
      <c r="A654" s="42"/>
      <c r="B654" s="79"/>
      <c r="C654" s="85"/>
      <c r="D654" s="45"/>
      <c r="E654" s="45"/>
      <c r="F654" s="46"/>
      <c r="G654" s="45"/>
      <c r="H654" s="46"/>
      <c r="I654" s="45"/>
      <c r="J654" s="47"/>
    </row>
    <row r="655" spans="1:10" ht="12.75">
      <c r="B655" s="82">
        <v>1</v>
      </c>
      <c r="C655" s="60" t="s">
        <v>209</v>
      </c>
      <c r="D655" s="48" t="s">
        <v>202</v>
      </c>
      <c r="E655" s="48"/>
      <c r="F655" s="69">
        <v>45974</v>
      </c>
      <c r="G655" s="48" t="s">
        <v>113</v>
      </c>
      <c r="H655" s="49"/>
      <c r="I655" s="48" t="s">
        <v>139</v>
      </c>
      <c r="J655" s="49">
        <v>20258</v>
      </c>
    </row>
    <row r="656" spans="1:10" ht="12.75">
      <c r="B656" s="82"/>
      <c r="C656" s="60"/>
      <c r="D656" s="48"/>
      <c r="E656" s="48"/>
      <c r="F656" s="49"/>
      <c r="G656" s="48"/>
      <c r="H656" s="49"/>
      <c r="I656" s="48"/>
      <c r="J656" s="49"/>
    </row>
    <row r="657" spans="1:10" ht="12.75">
      <c r="A657" s="42"/>
      <c r="B657" s="82"/>
      <c r="C657" s="60"/>
      <c r="D657" s="48"/>
      <c r="E657" s="48"/>
      <c r="F657" s="69"/>
      <c r="G657" s="48"/>
      <c r="H657" s="49"/>
      <c r="I657" s="48" t="s">
        <v>113</v>
      </c>
      <c r="J657" s="49" t="s">
        <v>113</v>
      </c>
    </row>
    <row r="658" spans="1:10" ht="12.75">
      <c r="A658" s="42"/>
      <c r="B658" s="82"/>
      <c r="C658" s="60"/>
      <c r="D658" s="48"/>
      <c r="E658" s="48"/>
      <c r="F658" s="49"/>
      <c r="G658" s="48"/>
      <c r="H658" s="49"/>
      <c r="I658" s="48"/>
      <c r="J658" s="49"/>
    </row>
    <row r="659" spans="1:10" ht="12.75">
      <c r="B659" s="82"/>
      <c r="C659" s="60"/>
      <c r="D659" s="48"/>
      <c r="E659" s="48"/>
      <c r="F659" s="69"/>
      <c r="G659" s="48"/>
      <c r="H659" s="49"/>
      <c r="I659" s="48"/>
      <c r="J659" s="49"/>
    </row>
    <row r="660" spans="1:10" ht="12.75">
      <c r="B660" s="82"/>
      <c r="C660" s="60"/>
      <c r="D660" s="48"/>
      <c r="E660" s="48"/>
      <c r="F660" s="49"/>
      <c r="G660" s="48"/>
      <c r="H660" s="49"/>
      <c r="I660" s="48"/>
      <c r="J660" s="49"/>
    </row>
    <row r="661" spans="1:10" ht="12.75">
      <c r="A661" s="42"/>
      <c r="B661" s="82"/>
      <c r="C661" s="60"/>
      <c r="D661" s="48"/>
      <c r="E661" s="48"/>
      <c r="F661" s="69"/>
      <c r="G661" s="48"/>
      <c r="H661" s="49"/>
      <c r="I661" s="48"/>
      <c r="J661" s="49"/>
    </row>
    <row r="662" spans="1:10" ht="12.75">
      <c r="A662" s="42"/>
      <c r="B662" s="80"/>
      <c r="C662" s="86"/>
      <c r="D662" s="48"/>
      <c r="E662" s="48"/>
      <c r="F662" s="49"/>
      <c r="G662" s="48"/>
      <c r="H662" s="49"/>
      <c r="I662" s="48"/>
      <c r="J662" s="49"/>
    </row>
    <row r="663" spans="1:10" ht="12.75">
      <c r="B663" s="80"/>
      <c r="C663" s="60"/>
      <c r="D663" s="48"/>
      <c r="E663" s="48"/>
      <c r="F663" s="69"/>
      <c r="G663" s="48"/>
      <c r="H663" s="49"/>
      <c r="I663" s="48"/>
      <c r="J663" s="49"/>
    </row>
    <row r="664" spans="1:10" ht="12.75">
      <c r="A664" s="42"/>
      <c r="B664" s="80"/>
      <c r="C664" s="86"/>
      <c r="D664" s="48"/>
      <c r="E664" s="48"/>
      <c r="F664" s="49"/>
      <c r="G664" s="48"/>
      <c r="H664" s="49"/>
      <c r="I664" s="48"/>
      <c r="J664" s="49"/>
    </row>
    <row r="665" spans="1:10" ht="12.75">
      <c r="A665" s="42"/>
      <c r="B665" s="80"/>
      <c r="C665" s="60"/>
      <c r="D665" s="48"/>
      <c r="E665" s="48"/>
      <c r="F665" s="69"/>
      <c r="G665" s="48"/>
      <c r="H665" s="49"/>
      <c r="I665" s="48"/>
      <c r="J665" s="49"/>
    </row>
    <row r="666" spans="1:10" ht="12.75">
      <c r="A666" s="42"/>
      <c r="B666" s="80"/>
      <c r="C666" s="86"/>
      <c r="D666" s="48"/>
      <c r="E666" s="48"/>
      <c r="F666" s="49"/>
      <c r="G666" s="48"/>
      <c r="H666" s="49"/>
      <c r="I666" s="48"/>
      <c r="J666" s="49"/>
    </row>
    <row r="667" spans="1:10" ht="12.75">
      <c r="A667" s="42"/>
      <c r="B667" s="80"/>
      <c r="C667" s="86"/>
      <c r="D667" s="48"/>
      <c r="E667" s="48"/>
      <c r="F667" s="49"/>
      <c r="G667" s="48"/>
      <c r="H667" s="49"/>
      <c r="I667" s="48"/>
      <c r="J667" s="49"/>
    </row>
    <row r="668" spans="1:10" ht="12.75">
      <c r="A668" s="42"/>
      <c r="B668" s="80"/>
      <c r="C668" s="86"/>
      <c r="D668" s="48"/>
      <c r="E668" s="48"/>
      <c r="F668" s="49"/>
      <c r="G668" s="48"/>
      <c r="H668" s="49"/>
      <c r="I668" s="48"/>
      <c r="J668" s="49"/>
    </row>
    <row r="669" spans="1:10" ht="12.75">
      <c r="A669" s="42"/>
      <c r="B669" s="80"/>
      <c r="C669" s="86"/>
      <c r="D669" s="48"/>
      <c r="E669" s="48"/>
      <c r="F669" s="49"/>
      <c r="G669" s="48"/>
      <c r="H669" s="49"/>
      <c r="I669" s="48"/>
      <c r="J669" s="49"/>
    </row>
    <row r="670" spans="1:10" ht="12.75">
      <c r="A670" s="42"/>
      <c r="B670" s="80"/>
      <c r="C670" s="86"/>
      <c r="D670" s="48"/>
      <c r="E670" s="48"/>
      <c r="F670" s="49"/>
      <c r="G670" s="48"/>
      <c r="H670" s="49"/>
      <c r="I670" s="48"/>
      <c r="J670" s="49"/>
    </row>
    <row r="671" spans="1:10" ht="12.75">
      <c r="A671" s="42"/>
      <c r="B671" s="80"/>
      <c r="C671" s="86"/>
      <c r="D671" s="48"/>
      <c r="E671" s="48"/>
      <c r="F671" s="49"/>
      <c r="G671" s="48"/>
      <c r="H671" s="49"/>
      <c r="I671" s="48"/>
      <c r="J671" s="49"/>
    </row>
    <row r="672" spans="1:10" ht="12.75">
      <c r="A672" s="42"/>
      <c r="B672" s="80"/>
      <c r="C672" s="86"/>
      <c r="D672" s="48"/>
      <c r="E672" s="48"/>
      <c r="F672" s="49"/>
      <c r="G672" s="48"/>
      <c r="H672" s="49"/>
      <c r="I672" s="48"/>
      <c r="J672" s="49"/>
    </row>
    <row r="673" spans="1:10" ht="12.75">
      <c r="A673" s="42"/>
      <c r="B673" s="80"/>
      <c r="C673" s="86"/>
      <c r="D673" s="48"/>
      <c r="E673" s="48"/>
      <c r="F673" s="49"/>
      <c r="G673" s="48"/>
      <c r="H673" s="49"/>
      <c r="I673" s="48"/>
      <c r="J673" s="49"/>
    </row>
    <row r="674" spans="1:10" ht="12.75">
      <c r="A674" s="42"/>
      <c r="B674" s="80"/>
      <c r="C674" s="86"/>
      <c r="D674" s="48"/>
      <c r="E674" s="48"/>
      <c r="F674" s="49"/>
      <c r="G674" s="48"/>
      <c r="H674" s="49"/>
      <c r="I674" s="48"/>
      <c r="J674" s="49"/>
    </row>
    <row r="675" spans="1:10" ht="12.75">
      <c r="A675" s="42"/>
      <c r="B675" s="80"/>
      <c r="C675" s="86"/>
      <c r="D675" s="48"/>
      <c r="E675" s="48"/>
      <c r="F675" s="49"/>
      <c r="G675" s="48"/>
      <c r="H675" s="49"/>
      <c r="I675" s="48"/>
      <c r="J675" s="49"/>
    </row>
    <row r="676" spans="1:10" ht="12.75">
      <c r="A676" s="42"/>
      <c r="B676" s="80"/>
      <c r="C676" s="86"/>
      <c r="D676" s="48"/>
      <c r="E676" s="48"/>
      <c r="F676" s="49"/>
      <c r="G676" s="48"/>
      <c r="H676" s="49"/>
      <c r="I676" s="48"/>
      <c r="J676" s="49"/>
    </row>
    <row r="677" spans="1:10" ht="12.75">
      <c r="A677" s="42"/>
      <c r="B677" s="80"/>
      <c r="C677" s="86"/>
      <c r="D677" s="48"/>
      <c r="E677" s="48"/>
      <c r="F677" s="49"/>
      <c r="G677" s="48"/>
      <c r="H677" s="49"/>
      <c r="I677" s="48"/>
      <c r="J677" s="49"/>
    </row>
    <row r="678" spans="1:10" ht="12.75">
      <c r="A678" s="42"/>
      <c r="B678" s="80"/>
      <c r="C678" s="86"/>
      <c r="D678" s="48"/>
      <c r="E678" s="48"/>
      <c r="F678" s="49"/>
      <c r="G678" s="48"/>
      <c r="H678" s="49"/>
      <c r="I678" s="48"/>
      <c r="J678" s="49"/>
    </row>
    <row r="679" spans="1:10" ht="12.75">
      <c r="A679" s="42"/>
      <c r="B679" s="80"/>
      <c r="C679" s="86"/>
      <c r="D679" s="48"/>
      <c r="E679" s="48"/>
      <c r="F679" s="49"/>
      <c r="G679" s="48"/>
      <c r="H679" s="49"/>
      <c r="I679" s="48"/>
      <c r="J679" s="49"/>
    </row>
    <row r="680" spans="1:10" ht="12.75">
      <c r="A680" s="42"/>
      <c r="B680" s="80"/>
      <c r="C680" s="86"/>
      <c r="D680" s="48"/>
      <c r="E680" s="48"/>
      <c r="F680" s="49"/>
      <c r="G680" s="48"/>
      <c r="H680" s="49"/>
      <c r="I680" s="48"/>
      <c r="J680" s="49"/>
    </row>
    <row r="681" spans="1:10" ht="12.75">
      <c r="A681" s="42" t="s">
        <v>207</v>
      </c>
      <c r="B681" s="80"/>
      <c r="C681" s="86"/>
      <c r="D681" s="48"/>
      <c r="E681" s="48"/>
      <c r="F681" s="49"/>
      <c r="G681" s="48"/>
      <c r="H681" s="49">
        <f>SUM(H655:H680)</f>
        <v>0</v>
      </c>
      <c r="I681" s="48"/>
      <c r="J681" s="49">
        <f>SUM(J655:J680)</f>
        <v>20258</v>
      </c>
    </row>
    <row r="682" spans="1:10" ht="12.75">
      <c r="A682" s="43"/>
      <c r="B682" s="80"/>
      <c r="C682" s="86"/>
      <c r="D682" s="48"/>
      <c r="E682" s="48"/>
      <c r="F682" s="49"/>
      <c r="G682" s="48"/>
      <c r="H682" s="49"/>
      <c r="I682" s="48"/>
      <c r="J682" s="49"/>
    </row>
    <row r="683" spans="1:10" ht="12.75">
      <c r="A683" s="43"/>
      <c r="B683" s="84"/>
      <c r="C683" s="88"/>
      <c r="D683" s="54"/>
      <c r="E683" s="54"/>
      <c r="F683" s="55"/>
      <c r="G683" s="54"/>
      <c r="H683" s="55"/>
      <c r="I683" s="54"/>
      <c r="J683" s="55"/>
    </row>
    <row r="684" spans="1:10" ht="12.75"/>
    <row r="685" spans="1:10" ht="12.75"/>
    <row r="686" spans="1:10" ht="12.75">
      <c r="A686" s="41" t="s">
        <v>187</v>
      </c>
      <c r="B686" s="41"/>
      <c r="C686" s="41"/>
      <c r="D686" s="41"/>
      <c r="E686" s="41"/>
      <c r="F686" s="41"/>
    </row>
    <row r="687" spans="1:10" ht="12.75">
      <c r="F687" s="68" t="s">
        <v>113</v>
      </c>
    </row>
    <row r="688" spans="1:10" ht="12.75"/>
    <row r="689" spans="1:10" ht="12.75">
      <c r="A689" s="42" t="s">
        <v>188</v>
      </c>
      <c r="B689" s="42" t="s">
        <v>189</v>
      </c>
      <c r="C689" s="42"/>
      <c r="D689" s="42"/>
      <c r="E689" s="42"/>
      <c r="F689" s="42"/>
      <c r="G689" s="43" t="s">
        <v>113</v>
      </c>
      <c r="H689" s="42" t="s">
        <v>175</v>
      </c>
      <c r="I689" s="90" t="s">
        <v>190</v>
      </c>
      <c r="J689" s="43"/>
    </row>
    <row r="690" spans="1:10" ht="12.75">
      <c r="A690" s="42" t="s">
        <v>191</v>
      </c>
      <c r="B690" s="89">
        <v>45975</v>
      </c>
      <c r="C690" s="42"/>
      <c r="D690" s="42"/>
      <c r="E690" s="42"/>
      <c r="F690" s="42"/>
      <c r="G690" s="43"/>
      <c r="H690" s="42" t="s">
        <v>192</v>
      </c>
      <c r="I690" s="91" t="s">
        <v>109</v>
      </c>
      <c r="J690" s="43"/>
    </row>
    <row r="691" spans="1:10" ht="12.75">
      <c r="A691" s="42"/>
      <c r="B691" s="42"/>
      <c r="C691" s="42"/>
      <c r="D691" s="42"/>
      <c r="E691" s="42"/>
      <c r="F691" s="42"/>
      <c r="G691" s="43"/>
      <c r="H691" s="43"/>
      <c r="I691" s="43"/>
      <c r="J691" s="43"/>
    </row>
    <row r="692" spans="1:10" ht="12.75">
      <c r="A692" s="42"/>
      <c r="B692" s="44" t="s">
        <v>193</v>
      </c>
      <c r="C692" s="44" t="s">
        <v>194</v>
      </c>
      <c r="D692" s="44" t="s">
        <v>195</v>
      </c>
      <c r="E692" s="44" t="s">
        <v>196</v>
      </c>
      <c r="F692" s="44" t="s">
        <v>197</v>
      </c>
      <c r="G692" s="44" t="s">
        <v>198</v>
      </c>
      <c r="H692" s="44" t="s">
        <v>199</v>
      </c>
      <c r="I692" s="44" t="s">
        <v>200</v>
      </c>
      <c r="J692" s="44" t="s">
        <v>199</v>
      </c>
    </row>
    <row r="693" spans="1:10" ht="12.75">
      <c r="A693" s="42"/>
      <c r="B693" s="79"/>
      <c r="C693" s="85"/>
      <c r="D693" s="45"/>
      <c r="E693" s="45"/>
      <c r="F693" s="46"/>
      <c r="G693" s="45"/>
      <c r="H693" s="46"/>
      <c r="I693" s="45"/>
      <c r="J693" s="47"/>
    </row>
    <row r="694" spans="1:10" ht="12.75">
      <c r="B694" s="80">
        <v>1</v>
      </c>
      <c r="C694" s="86" t="s">
        <v>201</v>
      </c>
      <c r="D694" s="48" t="s">
        <v>202</v>
      </c>
      <c r="E694" s="48"/>
      <c r="F694" s="69">
        <v>45975</v>
      </c>
      <c r="G694" s="48" t="s">
        <v>125</v>
      </c>
      <c r="H694" s="49">
        <v>116812</v>
      </c>
      <c r="I694" s="48" t="s">
        <v>113</v>
      </c>
      <c r="J694" s="49" t="s">
        <v>113</v>
      </c>
    </row>
    <row r="695" spans="1:10" ht="12.75">
      <c r="A695" s="42"/>
      <c r="B695" s="80"/>
      <c r="C695" s="86"/>
      <c r="D695" s="48"/>
      <c r="E695" s="48"/>
      <c r="F695" s="49"/>
      <c r="G695" s="48"/>
      <c r="H695" s="49"/>
      <c r="I695" s="48"/>
      <c r="J695" s="49"/>
    </row>
    <row r="696" spans="1:10" ht="12.75">
      <c r="B696" s="81"/>
      <c r="C696" s="59"/>
      <c r="D696" s="48"/>
      <c r="E696" s="48"/>
      <c r="F696" s="69"/>
      <c r="G696" s="48"/>
      <c r="H696" s="49"/>
      <c r="I696" s="48"/>
      <c r="J696" s="49"/>
    </row>
    <row r="697" spans="1:10" ht="12.75">
      <c r="B697" s="81"/>
      <c r="C697" s="59"/>
      <c r="D697" s="48"/>
      <c r="E697" s="48"/>
      <c r="F697" s="49"/>
      <c r="G697" s="48"/>
      <c r="H697" s="49"/>
      <c r="I697" s="48"/>
      <c r="J697" s="49"/>
    </row>
    <row r="698" spans="1:10" ht="12.75">
      <c r="A698" s="42"/>
      <c r="B698" s="81"/>
      <c r="C698" s="104"/>
      <c r="D698" s="48"/>
      <c r="E698" s="48"/>
      <c r="F698" s="69"/>
      <c r="G698" s="48"/>
      <c r="H698" s="49"/>
      <c r="I698" s="48"/>
      <c r="J698" s="49"/>
    </row>
    <row r="699" spans="1:10" ht="12.75">
      <c r="A699" s="42"/>
      <c r="B699" s="81"/>
      <c r="C699" s="59"/>
      <c r="D699" s="48"/>
      <c r="E699" s="48"/>
      <c r="F699" s="49"/>
      <c r="G699" s="48"/>
      <c r="H699" s="49"/>
      <c r="I699" s="48"/>
      <c r="J699" s="49"/>
    </row>
    <row r="700" spans="1:10" ht="12.75">
      <c r="A700" s="42"/>
      <c r="B700" s="82"/>
      <c r="C700" s="60"/>
      <c r="D700" s="48"/>
      <c r="E700" s="48"/>
      <c r="F700" s="69"/>
      <c r="G700" s="48"/>
      <c r="H700" s="49"/>
      <c r="I700" s="48"/>
      <c r="J700" s="49"/>
    </row>
    <row r="701" spans="1:10" ht="12.75">
      <c r="B701" s="80"/>
      <c r="C701" s="86"/>
      <c r="D701" s="48"/>
      <c r="E701" s="48"/>
      <c r="F701" s="49"/>
      <c r="G701" s="48"/>
      <c r="H701" s="49"/>
      <c r="I701" s="48"/>
      <c r="J701" s="49"/>
    </row>
    <row r="702" spans="1:10" ht="12.75">
      <c r="A702" s="42"/>
      <c r="B702" s="80"/>
      <c r="C702" s="86"/>
      <c r="D702" s="48"/>
      <c r="E702" s="48"/>
      <c r="F702" s="49"/>
      <c r="G702" s="48"/>
      <c r="H702" s="49"/>
      <c r="I702" s="48"/>
      <c r="J702" s="49"/>
    </row>
    <row r="703" spans="1:10" ht="12.75">
      <c r="A703" s="42"/>
      <c r="B703" s="80"/>
      <c r="C703" s="86"/>
      <c r="D703" s="48"/>
      <c r="E703" s="48"/>
      <c r="F703" s="49"/>
      <c r="G703" s="48"/>
      <c r="H703" s="49"/>
      <c r="I703" s="48"/>
      <c r="J703" s="49"/>
    </row>
    <row r="704" spans="1:10" ht="12.75">
      <c r="A704" s="42"/>
      <c r="B704" s="80"/>
      <c r="C704" s="86"/>
      <c r="D704" s="48"/>
      <c r="E704" s="48"/>
      <c r="F704" s="49"/>
      <c r="G704" s="48"/>
      <c r="H704" s="49"/>
      <c r="I704" s="48"/>
      <c r="J704" s="49"/>
    </row>
    <row r="705" spans="1:11" ht="12.75">
      <c r="A705" s="42"/>
      <c r="B705" s="80"/>
      <c r="C705" s="86"/>
      <c r="D705" s="48"/>
      <c r="E705" s="48"/>
      <c r="F705" s="49"/>
      <c r="G705" s="48"/>
      <c r="H705" s="49"/>
      <c r="I705" s="48"/>
      <c r="J705" s="49"/>
    </row>
    <row r="706" spans="1:11" ht="12.75">
      <c r="A706" s="42"/>
      <c r="B706" s="80"/>
      <c r="C706" s="86"/>
      <c r="D706" s="48"/>
      <c r="E706" s="48"/>
      <c r="F706" s="49"/>
      <c r="G706" s="48"/>
      <c r="H706" s="49"/>
      <c r="I706" s="48"/>
      <c r="J706" s="49"/>
    </row>
    <row r="707" spans="1:11" ht="12.75">
      <c r="A707" s="50"/>
      <c r="B707" s="83"/>
      <c r="C707" s="87"/>
      <c r="D707" s="51"/>
      <c r="E707" s="51"/>
      <c r="F707" s="52"/>
      <c r="G707" s="51"/>
      <c r="H707" s="52"/>
      <c r="I707" s="51"/>
      <c r="J707" s="52"/>
      <c r="K707" s="53"/>
    </row>
    <row r="708" spans="1:11" ht="12.75">
      <c r="A708" s="42"/>
      <c r="B708" s="80"/>
      <c r="C708" s="86"/>
      <c r="D708" s="48"/>
      <c r="E708" s="48"/>
      <c r="F708" s="49"/>
      <c r="G708" s="48"/>
      <c r="H708" s="49"/>
      <c r="I708" s="48"/>
      <c r="J708" s="49"/>
    </row>
    <row r="709" spans="1:11" ht="12.75">
      <c r="A709" s="42"/>
      <c r="B709" s="80"/>
      <c r="C709" s="86"/>
      <c r="D709" s="48"/>
      <c r="E709" s="48"/>
      <c r="F709" s="49"/>
      <c r="G709" s="48"/>
      <c r="H709" s="49"/>
      <c r="I709" s="48"/>
      <c r="J709" s="49"/>
    </row>
    <row r="710" spans="1:11" ht="12.75">
      <c r="A710" s="42"/>
      <c r="B710" s="80"/>
      <c r="C710" s="86"/>
      <c r="D710" s="48"/>
      <c r="E710" s="48"/>
      <c r="F710" s="49"/>
      <c r="G710" s="48"/>
      <c r="H710" s="49"/>
      <c r="I710" s="48"/>
      <c r="J710" s="49"/>
    </row>
    <row r="711" spans="1:11" ht="12.75">
      <c r="A711" s="42"/>
      <c r="B711" s="80"/>
      <c r="C711" s="86"/>
      <c r="D711" s="48"/>
      <c r="E711" s="48"/>
      <c r="F711" s="49"/>
      <c r="G711" s="48"/>
      <c r="H711" s="49"/>
      <c r="I711" s="48"/>
      <c r="J711" s="49"/>
    </row>
    <row r="712" spans="1:11" ht="12.75">
      <c r="A712" s="42"/>
      <c r="B712" s="80"/>
      <c r="C712" s="86"/>
      <c r="D712" s="48"/>
      <c r="E712" s="48"/>
      <c r="F712" s="49"/>
      <c r="G712" s="48"/>
      <c r="H712" s="49"/>
      <c r="I712" s="48"/>
      <c r="J712" s="49"/>
    </row>
    <row r="713" spans="1:11" ht="12.75">
      <c r="A713" s="42"/>
      <c r="B713" s="80"/>
      <c r="C713" s="86"/>
      <c r="D713" s="48"/>
      <c r="E713" s="48"/>
      <c r="F713" s="49"/>
      <c r="G713" s="48"/>
      <c r="H713" s="49"/>
      <c r="I713" s="48"/>
      <c r="J713" s="49"/>
    </row>
    <row r="714" spans="1:11" ht="12.75">
      <c r="A714" s="42"/>
      <c r="B714" s="80"/>
      <c r="C714" s="86"/>
      <c r="D714" s="48"/>
      <c r="E714" s="48"/>
      <c r="F714" s="49"/>
      <c r="G714" s="48"/>
      <c r="H714" s="49"/>
      <c r="I714" s="48"/>
      <c r="J714" s="49"/>
    </row>
    <row r="715" spans="1:11" ht="12.75">
      <c r="A715" s="42"/>
      <c r="B715" s="80"/>
      <c r="C715" s="86"/>
      <c r="D715" s="48"/>
      <c r="E715" s="48"/>
      <c r="F715" s="49"/>
      <c r="G715" s="48"/>
      <c r="H715" s="49"/>
      <c r="I715" s="48"/>
      <c r="J715" s="49"/>
    </row>
    <row r="716" spans="1:11" ht="12.75">
      <c r="A716" s="42"/>
      <c r="B716" s="80"/>
      <c r="C716" s="86"/>
      <c r="D716" s="48"/>
      <c r="E716" s="48"/>
      <c r="F716" s="49"/>
      <c r="G716" s="48"/>
      <c r="H716" s="49"/>
      <c r="I716" s="48"/>
      <c r="J716" s="49"/>
    </row>
    <row r="717" spans="1:11" ht="12.75">
      <c r="A717" s="42"/>
      <c r="B717" s="80"/>
      <c r="C717" s="86"/>
      <c r="D717" s="48"/>
      <c r="E717" s="48"/>
      <c r="F717" s="49"/>
      <c r="G717" s="48"/>
      <c r="H717" s="49"/>
      <c r="I717" s="48"/>
      <c r="J717" s="49"/>
    </row>
    <row r="718" spans="1:11" ht="12.75">
      <c r="A718" s="42"/>
      <c r="B718" s="80"/>
      <c r="C718" s="86"/>
      <c r="D718" s="48"/>
      <c r="E718" s="48"/>
      <c r="F718" s="49"/>
      <c r="G718" s="48"/>
      <c r="H718" s="49"/>
      <c r="I718" s="48"/>
      <c r="J718" s="49"/>
    </row>
    <row r="719" spans="1:11" ht="12.75">
      <c r="A719" s="42"/>
      <c r="B719" s="80"/>
      <c r="C719" s="86"/>
      <c r="D719" s="48"/>
      <c r="E719" s="48"/>
      <c r="F719" s="49"/>
      <c r="G719" s="48"/>
      <c r="H719" s="49"/>
      <c r="I719" s="48"/>
      <c r="J719" s="49"/>
    </row>
    <row r="720" spans="1:11" ht="12.75">
      <c r="A720" s="42"/>
      <c r="B720" s="80"/>
      <c r="C720" s="86"/>
      <c r="D720" s="48"/>
      <c r="E720" s="48"/>
      <c r="F720" s="49"/>
      <c r="G720" s="48"/>
      <c r="H720" s="49"/>
      <c r="I720" s="48"/>
      <c r="J720" s="49"/>
    </row>
    <row r="721" spans="1:10" ht="12.75">
      <c r="A721" s="42"/>
      <c r="B721" s="80"/>
      <c r="C721" s="86"/>
      <c r="D721" s="48"/>
      <c r="E721" s="48"/>
      <c r="F721" s="49"/>
      <c r="G721" s="48"/>
      <c r="H721" s="49"/>
      <c r="I721" s="48"/>
      <c r="J721" s="49"/>
    </row>
    <row r="722" spans="1:10" ht="12.75">
      <c r="A722" s="42"/>
      <c r="B722" s="80"/>
      <c r="C722" s="86"/>
      <c r="D722" s="48"/>
      <c r="E722" s="48"/>
      <c r="F722" s="49"/>
      <c r="G722" s="48"/>
      <c r="H722" s="49"/>
      <c r="I722" s="48"/>
      <c r="J722" s="49"/>
    </row>
    <row r="723" spans="1:10" ht="12.75">
      <c r="A723" s="42" t="s">
        <v>203</v>
      </c>
      <c r="B723" s="80"/>
      <c r="C723" s="86"/>
      <c r="D723" s="48"/>
      <c r="E723" s="48"/>
      <c r="F723" s="49"/>
      <c r="G723" s="48"/>
      <c r="H723" s="49">
        <f>SUM(H694:H722)</f>
        <v>116812</v>
      </c>
      <c r="I723" s="48"/>
      <c r="J723" s="49">
        <f>SUM(J694:J721)</f>
        <v>0</v>
      </c>
    </row>
    <row r="724" spans="1:10" ht="12.75">
      <c r="A724" s="43"/>
      <c r="B724" s="80"/>
      <c r="C724" s="86"/>
      <c r="D724" s="48"/>
      <c r="E724" s="48"/>
      <c r="F724" s="49"/>
      <c r="G724" s="48"/>
      <c r="H724" s="49"/>
      <c r="I724" s="48"/>
      <c r="J724" s="49"/>
    </row>
    <row r="725" spans="1:10" ht="12.75">
      <c r="A725" s="43"/>
      <c r="B725" s="84"/>
      <c r="C725" s="88"/>
      <c r="D725" s="54"/>
      <c r="E725" s="54"/>
      <c r="F725" s="55"/>
      <c r="G725" s="54"/>
      <c r="H725" s="55"/>
      <c r="I725" s="54"/>
      <c r="J725" s="55"/>
    </row>
    <row r="726" spans="1:10" ht="12.75"/>
    <row r="727" spans="1:10" ht="12.75"/>
    <row r="728" spans="1:10" ht="12.75">
      <c r="A728" s="41" t="s">
        <v>204</v>
      </c>
      <c r="B728" s="41"/>
      <c r="C728" s="41"/>
      <c r="D728" s="41"/>
      <c r="E728" s="41"/>
      <c r="F728" s="41"/>
    </row>
    <row r="729" spans="1:10" ht="12.75"/>
    <row r="730" spans="1:10" ht="12.75"/>
    <row r="731" spans="1:10" ht="12.75">
      <c r="A731" s="42" t="s">
        <v>188</v>
      </c>
      <c r="B731" s="42" t="s">
        <v>189</v>
      </c>
      <c r="C731" s="42"/>
      <c r="D731" s="42"/>
      <c r="E731" s="42"/>
      <c r="F731" s="42"/>
      <c r="G731" s="43" t="s">
        <v>113</v>
      </c>
      <c r="H731" s="42" t="s">
        <v>205</v>
      </c>
      <c r="I731" s="42" t="s">
        <v>208</v>
      </c>
      <c r="J731" s="43"/>
    </row>
    <row r="732" spans="1:10" ht="12.75">
      <c r="A732" s="42" t="s">
        <v>191</v>
      </c>
      <c r="B732" s="89">
        <v>45975</v>
      </c>
      <c r="C732" s="42"/>
      <c r="D732" s="42"/>
      <c r="E732" s="42"/>
      <c r="F732" s="42"/>
      <c r="G732" s="43"/>
      <c r="H732" s="42" t="s">
        <v>192</v>
      </c>
      <c r="I732" s="91" t="s">
        <v>137</v>
      </c>
      <c r="J732" s="43"/>
    </row>
    <row r="733" spans="1:10" ht="12.75">
      <c r="A733" s="42"/>
      <c r="B733" s="42"/>
      <c r="C733" s="42"/>
      <c r="D733" s="42"/>
      <c r="E733" s="42"/>
      <c r="F733" s="42"/>
      <c r="G733" s="43"/>
      <c r="H733" s="43"/>
      <c r="I733" s="43"/>
      <c r="J733" s="43"/>
    </row>
    <row r="734" spans="1:10" ht="12.75">
      <c r="A734" s="42"/>
      <c r="B734" s="44" t="s">
        <v>193</v>
      </c>
      <c r="C734" s="44" t="s">
        <v>194</v>
      </c>
      <c r="D734" s="44" t="s">
        <v>195</v>
      </c>
      <c r="E734" s="44" t="s">
        <v>196</v>
      </c>
      <c r="F734" s="44" t="s">
        <v>197</v>
      </c>
      <c r="G734" s="44" t="s">
        <v>198</v>
      </c>
      <c r="H734" s="44" t="s">
        <v>199</v>
      </c>
      <c r="I734" s="44" t="s">
        <v>200</v>
      </c>
      <c r="J734" s="44" t="s">
        <v>199</v>
      </c>
    </row>
    <row r="735" spans="1:10" ht="12.75">
      <c r="A735" s="42"/>
      <c r="B735" s="79"/>
      <c r="C735" s="85"/>
      <c r="D735" s="45"/>
      <c r="E735" s="45"/>
      <c r="F735" s="46"/>
      <c r="G735" s="45"/>
      <c r="H735" s="46"/>
      <c r="I735" s="45"/>
      <c r="J735" s="47"/>
    </row>
    <row r="736" spans="1:10" ht="12.75">
      <c r="B736" s="82">
        <v>1</v>
      </c>
      <c r="C736" s="60" t="s">
        <v>209</v>
      </c>
      <c r="D736" s="48" t="s">
        <v>202</v>
      </c>
      <c r="E736" s="48"/>
      <c r="F736" s="69">
        <v>45975</v>
      </c>
      <c r="G736" s="48" t="s">
        <v>113</v>
      </c>
      <c r="H736" s="49"/>
      <c r="I736" s="48" t="s">
        <v>139</v>
      </c>
      <c r="J736" s="49">
        <v>116812</v>
      </c>
    </row>
    <row r="737" spans="1:10" ht="12.75">
      <c r="B737" s="82"/>
      <c r="C737" s="60"/>
      <c r="D737" s="48"/>
      <c r="E737" s="48"/>
      <c r="F737" s="49"/>
      <c r="G737" s="48"/>
      <c r="H737" s="49"/>
      <c r="I737" s="48"/>
      <c r="J737" s="49"/>
    </row>
    <row r="738" spans="1:10" ht="12.75">
      <c r="A738" s="42"/>
      <c r="B738" s="82"/>
      <c r="C738" s="60"/>
      <c r="D738" s="48"/>
      <c r="E738" s="48"/>
      <c r="F738" s="69"/>
      <c r="G738" s="48"/>
      <c r="H738" s="49"/>
      <c r="I738" s="48"/>
      <c r="J738" s="49"/>
    </row>
    <row r="739" spans="1:10" ht="12.75">
      <c r="A739" s="42"/>
      <c r="B739" s="82"/>
      <c r="C739" s="60"/>
      <c r="D739" s="48"/>
      <c r="E739" s="48"/>
      <c r="F739" s="49"/>
      <c r="G739" s="48"/>
      <c r="H739" s="49"/>
      <c r="I739" s="48"/>
      <c r="J739" s="49"/>
    </row>
    <row r="740" spans="1:10" ht="12.75">
      <c r="B740" s="82"/>
      <c r="C740" s="60"/>
      <c r="D740" s="48"/>
      <c r="E740" s="48"/>
      <c r="F740" s="69"/>
      <c r="G740" s="48"/>
      <c r="H740" s="49"/>
      <c r="I740" s="48"/>
      <c r="J740" s="49"/>
    </row>
    <row r="741" spans="1:10" ht="12.75">
      <c r="B741" s="82"/>
      <c r="C741" s="60"/>
      <c r="D741" s="48"/>
      <c r="E741" s="48"/>
      <c r="F741" s="49"/>
      <c r="G741" s="48"/>
      <c r="H741" s="49"/>
      <c r="I741" s="48"/>
      <c r="J741" s="49"/>
    </row>
    <row r="742" spans="1:10" ht="12.75">
      <c r="A742" s="42"/>
      <c r="B742" s="82"/>
      <c r="C742" s="60"/>
      <c r="D742" s="48"/>
      <c r="E742" s="48"/>
      <c r="F742" s="69"/>
      <c r="G742" s="48"/>
      <c r="H742" s="49"/>
      <c r="I742" s="48"/>
      <c r="J742" s="49"/>
    </row>
    <row r="743" spans="1:10" ht="12.75">
      <c r="A743" s="42"/>
      <c r="B743" s="80"/>
      <c r="C743" s="86"/>
      <c r="D743" s="48"/>
      <c r="E743" s="48"/>
      <c r="F743" s="49"/>
      <c r="G743" s="48"/>
      <c r="H743" s="49"/>
      <c r="I743" s="48"/>
      <c r="J743" s="49"/>
    </row>
    <row r="744" spans="1:10" ht="12.75">
      <c r="B744" s="80"/>
      <c r="C744" s="60"/>
      <c r="D744" s="48"/>
      <c r="E744" s="48"/>
      <c r="F744" s="69"/>
      <c r="G744" s="48"/>
      <c r="H744" s="49"/>
      <c r="I744" s="48"/>
      <c r="J744" s="49"/>
    </row>
    <row r="745" spans="1:10" ht="12.75">
      <c r="A745" s="42"/>
      <c r="B745" s="80"/>
      <c r="C745" s="86"/>
      <c r="D745" s="48"/>
      <c r="E745" s="48"/>
      <c r="F745" s="49"/>
      <c r="G745" s="48"/>
      <c r="H745" s="49"/>
      <c r="I745" s="48"/>
      <c r="J745" s="49"/>
    </row>
    <row r="746" spans="1:10" ht="12.75">
      <c r="A746" s="42"/>
      <c r="B746" s="80"/>
      <c r="C746" s="60"/>
      <c r="D746" s="48"/>
      <c r="E746" s="48"/>
      <c r="F746" s="69"/>
      <c r="G746" s="48"/>
      <c r="H746" s="49"/>
      <c r="I746" s="48"/>
      <c r="J746" s="49"/>
    </row>
    <row r="747" spans="1:10" ht="12.75">
      <c r="A747" s="42"/>
      <c r="B747" s="80"/>
      <c r="C747" s="86"/>
      <c r="D747" s="48"/>
      <c r="E747" s="48"/>
      <c r="F747" s="49"/>
      <c r="G747" s="48"/>
      <c r="H747" s="49"/>
      <c r="I747" s="48"/>
      <c r="J747" s="49"/>
    </row>
    <row r="748" spans="1:10" ht="12.75">
      <c r="A748" s="42"/>
      <c r="B748" s="80"/>
      <c r="C748" s="86"/>
      <c r="D748" s="48"/>
      <c r="E748" s="48"/>
      <c r="F748" s="49"/>
      <c r="G748" s="48"/>
      <c r="H748" s="49"/>
      <c r="I748" s="48"/>
      <c r="J748" s="49"/>
    </row>
    <row r="749" spans="1:10" ht="12.75">
      <c r="A749" s="42"/>
      <c r="B749" s="80"/>
      <c r="C749" s="86"/>
      <c r="D749" s="48"/>
      <c r="E749" s="48"/>
      <c r="F749" s="49"/>
      <c r="G749" s="48"/>
      <c r="H749" s="49"/>
      <c r="I749" s="48"/>
      <c r="J749" s="49"/>
    </row>
    <row r="750" spans="1:10" ht="12.75">
      <c r="A750" s="42"/>
      <c r="B750" s="80"/>
      <c r="C750" s="86"/>
      <c r="D750" s="48"/>
      <c r="E750" s="48"/>
      <c r="F750" s="49"/>
      <c r="G750" s="48"/>
      <c r="H750" s="49"/>
      <c r="I750" s="48"/>
      <c r="J750" s="49"/>
    </row>
    <row r="751" spans="1:10" ht="12.75">
      <c r="A751" s="42"/>
      <c r="B751" s="80"/>
      <c r="C751" s="86"/>
      <c r="D751" s="48"/>
      <c r="E751" s="48"/>
      <c r="F751" s="49"/>
      <c r="G751" s="48"/>
      <c r="H751" s="49"/>
      <c r="I751" s="48"/>
      <c r="J751" s="49"/>
    </row>
    <row r="752" spans="1:10" ht="12.75">
      <c r="A752" s="42"/>
      <c r="B752" s="80"/>
      <c r="C752" s="86"/>
      <c r="D752" s="48"/>
      <c r="E752" s="48"/>
      <c r="F752" s="49"/>
      <c r="G752" s="48"/>
      <c r="H752" s="49"/>
      <c r="I752" s="48"/>
      <c r="J752" s="49"/>
    </row>
    <row r="753" spans="1:10" ht="12.75">
      <c r="A753" s="42"/>
      <c r="B753" s="80"/>
      <c r="C753" s="86"/>
      <c r="D753" s="48"/>
      <c r="E753" s="48"/>
      <c r="F753" s="49"/>
      <c r="G753" s="48"/>
      <c r="H753" s="49"/>
      <c r="I753" s="48"/>
      <c r="J753" s="49"/>
    </row>
    <row r="754" spans="1:10" ht="12.75">
      <c r="A754" s="42"/>
      <c r="B754" s="80"/>
      <c r="C754" s="86"/>
      <c r="D754" s="48"/>
      <c r="E754" s="48"/>
      <c r="F754" s="49"/>
      <c r="G754" s="48"/>
      <c r="H754" s="49"/>
      <c r="I754" s="48"/>
      <c r="J754" s="49"/>
    </row>
    <row r="755" spans="1:10" ht="12.75">
      <c r="A755" s="42"/>
      <c r="B755" s="80"/>
      <c r="C755" s="86"/>
      <c r="D755" s="48"/>
      <c r="E755" s="48"/>
      <c r="F755" s="49"/>
      <c r="G755" s="48"/>
      <c r="H755" s="49"/>
      <c r="I755" s="48"/>
      <c r="J755" s="49"/>
    </row>
    <row r="756" spans="1:10" ht="12.75">
      <c r="A756" s="42"/>
      <c r="B756" s="80"/>
      <c r="C756" s="86"/>
      <c r="D756" s="48"/>
      <c r="E756" s="48"/>
      <c r="F756" s="49"/>
      <c r="G756" s="48"/>
      <c r="H756" s="49"/>
      <c r="I756" s="48"/>
      <c r="J756" s="49"/>
    </row>
    <row r="757" spans="1:10" ht="12.75">
      <c r="A757" s="42"/>
      <c r="B757" s="80"/>
      <c r="C757" s="86"/>
      <c r="D757" s="48"/>
      <c r="E757" s="48"/>
      <c r="F757" s="49"/>
      <c r="G757" s="48"/>
      <c r="H757" s="49"/>
      <c r="I757" s="48"/>
      <c r="J757" s="49"/>
    </row>
    <row r="758" spans="1:10" ht="12.75">
      <c r="A758" s="42"/>
      <c r="B758" s="80"/>
      <c r="C758" s="86"/>
      <c r="D758" s="48"/>
      <c r="E758" s="48"/>
      <c r="F758" s="49"/>
      <c r="G758" s="48"/>
      <c r="H758" s="49"/>
      <c r="I758" s="48"/>
      <c r="J758" s="49"/>
    </row>
    <row r="759" spans="1:10" ht="12.75">
      <c r="A759" s="42"/>
      <c r="B759" s="80"/>
      <c r="C759" s="86"/>
      <c r="D759" s="48"/>
      <c r="E759" s="48"/>
      <c r="F759" s="49"/>
      <c r="G759" s="48"/>
      <c r="H759" s="49"/>
      <c r="I759" s="48"/>
      <c r="J759" s="49"/>
    </row>
    <row r="760" spans="1:10" ht="12.75">
      <c r="A760" s="42"/>
      <c r="B760" s="80"/>
      <c r="C760" s="86"/>
      <c r="D760" s="48"/>
      <c r="E760" s="48"/>
      <c r="F760" s="49"/>
      <c r="G760" s="48"/>
      <c r="H760" s="49"/>
      <c r="I760" s="48"/>
      <c r="J760" s="49"/>
    </row>
    <row r="761" spans="1:10" ht="12.75">
      <c r="A761" s="42"/>
      <c r="B761" s="80"/>
      <c r="C761" s="86"/>
      <c r="D761" s="48"/>
      <c r="E761" s="48"/>
      <c r="F761" s="49"/>
      <c r="G761" s="48"/>
      <c r="H761" s="49"/>
      <c r="I761" s="48"/>
      <c r="J761" s="49"/>
    </row>
    <row r="762" spans="1:10" ht="12.75">
      <c r="A762" s="42" t="s">
        <v>207</v>
      </c>
      <c r="B762" s="80"/>
      <c r="C762" s="86"/>
      <c r="D762" s="48"/>
      <c r="E762" s="48"/>
      <c r="F762" s="49"/>
      <c r="G762" s="48"/>
      <c r="H762" s="49"/>
      <c r="I762" s="48"/>
      <c r="J762" s="49">
        <f>SUM(J736:J761)</f>
        <v>116812</v>
      </c>
    </row>
    <row r="763" spans="1:10" ht="12.75">
      <c r="A763" s="43"/>
      <c r="B763" s="80"/>
      <c r="C763" s="86"/>
      <c r="D763" s="48"/>
      <c r="E763" s="48"/>
      <c r="F763" s="49"/>
      <c r="G763" s="48"/>
      <c r="H763" s="49"/>
      <c r="I763" s="48"/>
      <c r="J763" s="49"/>
    </row>
    <row r="764" spans="1:10" ht="12.75">
      <c r="A764" s="43"/>
      <c r="B764" s="84"/>
      <c r="C764" s="88"/>
      <c r="D764" s="54"/>
      <c r="E764" s="54"/>
      <c r="F764" s="55"/>
      <c r="G764" s="54"/>
      <c r="H764" s="55"/>
      <c r="I764" s="54"/>
      <c r="J764" s="55"/>
    </row>
    <row r="765" spans="1:10" ht="12.75"/>
    <row r="766" spans="1:10" ht="12.75"/>
    <row r="767" spans="1:10" ht="12.75">
      <c r="A767" s="41" t="s">
        <v>204</v>
      </c>
      <c r="B767" s="41"/>
      <c r="C767" s="41"/>
      <c r="D767" s="41"/>
      <c r="E767" s="41"/>
      <c r="F767" s="41"/>
    </row>
    <row r="768" spans="1:10" ht="12.75"/>
    <row r="769" spans="1:10" ht="12.75"/>
    <row r="770" spans="1:10" ht="12.75">
      <c r="A770" s="42" t="s">
        <v>188</v>
      </c>
      <c r="B770" s="42" t="s">
        <v>189</v>
      </c>
      <c r="C770" s="42"/>
      <c r="D770" s="42"/>
      <c r="E770" s="42"/>
      <c r="F770" s="42"/>
      <c r="G770" s="43" t="s">
        <v>113</v>
      </c>
      <c r="H770" s="42" t="s">
        <v>205</v>
      </c>
      <c r="I770" s="42" t="s">
        <v>210</v>
      </c>
      <c r="J770" s="43"/>
    </row>
    <row r="771" spans="1:10" ht="12.75">
      <c r="A771" s="42" t="s">
        <v>191</v>
      </c>
      <c r="B771" s="89">
        <v>45975</v>
      </c>
      <c r="C771" s="42"/>
      <c r="D771" s="42"/>
      <c r="E771" s="42"/>
      <c r="F771" s="42"/>
      <c r="G771" s="43"/>
      <c r="H771" s="42" t="s">
        <v>192</v>
      </c>
      <c r="I771" s="91" t="s">
        <v>154</v>
      </c>
      <c r="J771" s="43"/>
    </row>
    <row r="772" spans="1:10" ht="12.75">
      <c r="A772" s="42"/>
      <c r="B772" s="42"/>
      <c r="C772" s="42"/>
      <c r="D772" s="42"/>
      <c r="E772" s="42"/>
      <c r="F772" s="42"/>
      <c r="G772" s="43"/>
      <c r="H772" s="43"/>
      <c r="I772" s="43"/>
      <c r="J772" s="43"/>
    </row>
    <row r="773" spans="1:10" ht="12.75">
      <c r="A773" s="42"/>
      <c r="B773" s="44" t="s">
        <v>193</v>
      </c>
      <c r="C773" s="44" t="s">
        <v>194</v>
      </c>
      <c r="D773" s="44" t="s">
        <v>195</v>
      </c>
      <c r="E773" s="44" t="s">
        <v>196</v>
      </c>
      <c r="F773" s="44" t="s">
        <v>197</v>
      </c>
      <c r="G773" s="44" t="s">
        <v>198</v>
      </c>
      <c r="H773" s="44" t="s">
        <v>199</v>
      </c>
      <c r="I773" s="44" t="s">
        <v>200</v>
      </c>
      <c r="J773" s="44" t="s">
        <v>199</v>
      </c>
    </row>
    <row r="774" spans="1:10" ht="12.75">
      <c r="A774" s="42"/>
      <c r="B774" s="79"/>
      <c r="C774" s="85"/>
      <c r="D774" s="45"/>
      <c r="E774" s="45"/>
      <c r="F774" s="46"/>
      <c r="G774" s="45"/>
      <c r="H774" s="46"/>
      <c r="I774" s="45"/>
      <c r="J774" s="47"/>
    </row>
    <row r="775" spans="1:10" ht="12.75">
      <c r="B775" s="82">
        <v>1</v>
      </c>
      <c r="C775" s="60" t="s">
        <v>209</v>
      </c>
      <c r="D775" s="48" t="s">
        <v>202</v>
      </c>
      <c r="E775" s="48"/>
      <c r="F775" s="69">
        <v>45975</v>
      </c>
      <c r="G775" s="48" t="s">
        <v>113</v>
      </c>
      <c r="H775" s="49"/>
      <c r="I775" s="48" t="s">
        <v>139</v>
      </c>
      <c r="J775" s="49">
        <v>16687</v>
      </c>
    </row>
    <row r="776" spans="1:10" ht="12.75">
      <c r="B776" s="82"/>
      <c r="C776" s="60"/>
      <c r="D776" s="48"/>
      <c r="E776" s="48"/>
      <c r="F776" s="49"/>
      <c r="G776" s="48"/>
      <c r="H776" s="49"/>
      <c r="I776" s="48"/>
      <c r="J776" s="49"/>
    </row>
    <row r="777" spans="1:10" ht="12.75">
      <c r="A777" s="42"/>
      <c r="B777" s="82"/>
      <c r="C777" s="60"/>
      <c r="D777" s="48"/>
      <c r="E777" s="48"/>
      <c r="F777" s="69"/>
      <c r="G777" s="48"/>
      <c r="H777" s="49"/>
      <c r="I777" s="48" t="s">
        <v>113</v>
      </c>
      <c r="J777" s="49" t="s">
        <v>113</v>
      </c>
    </row>
    <row r="778" spans="1:10" ht="12.75">
      <c r="A778" s="42"/>
      <c r="B778" s="82"/>
      <c r="C778" s="60"/>
      <c r="D778" s="48"/>
      <c r="E778" s="48"/>
      <c r="F778" s="49"/>
      <c r="G778" s="48"/>
      <c r="H778" s="49"/>
      <c r="I778" s="48"/>
      <c r="J778" s="49"/>
    </row>
    <row r="779" spans="1:10" ht="12.75">
      <c r="B779" s="82"/>
      <c r="C779" s="60"/>
      <c r="D779" s="48"/>
      <c r="E779" s="48"/>
      <c r="F779" s="69"/>
      <c r="G779" s="48"/>
      <c r="H779" s="49"/>
      <c r="I779" s="48"/>
      <c r="J779" s="49"/>
    </row>
    <row r="780" spans="1:10" ht="12.75">
      <c r="B780" s="82"/>
      <c r="C780" s="60"/>
      <c r="D780" s="48"/>
      <c r="E780" s="48"/>
      <c r="F780" s="49"/>
      <c r="G780" s="48"/>
      <c r="H780" s="49"/>
      <c r="I780" s="48"/>
      <c r="J780" s="49"/>
    </row>
    <row r="781" spans="1:10" ht="12.75">
      <c r="A781" s="42"/>
      <c r="B781" s="82"/>
      <c r="C781" s="60"/>
      <c r="D781" s="48"/>
      <c r="E781" s="48"/>
      <c r="F781" s="69"/>
      <c r="G781" s="48"/>
      <c r="H781" s="49"/>
      <c r="I781" s="48"/>
      <c r="J781" s="49"/>
    </row>
    <row r="782" spans="1:10" ht="12.75">
      <c r="A782" s="42"/>
      <c r="B782" s="80"/>
      <c r="C782" s="86"/>
      <c r="D782" s="48"/>
      <c r="E782" s="48"/>
      <c r="F782" s="49"/>
      <c r="G782" s="48"/>
      <c r="H782" s="49"/>
      <c r="I782" s="48"/>
      <c r="J782" s="49"/>
    </row>
    <row r="783" spans="1:10" ht="12.75">
      <c r="B783" s="80"/>
      <c r="C783" s="60"/>
      <c r="D783" s="48"/>
      <c r="E783" s="48"/>
      <c r="F783" s="69"/>
      <c r="G783" s="48"/>
      <c r="H783" s="49"/>
      <c r="I783" s="48"/>
      <c r="J783" s="49"/>
    </row>
    <row r="784" spans="1:10" ht="12.75">
      <c r="A784" s="42"/>
      <c r="B784" s="80"/>
      <c r="C784" s="86"/>
      <c r="D784" s="48"/>
      <c r="E784" s="48"/>
      <c r="F784" s="49"/>
      <c r="G784" s="48"/>
      <c r="H784" s="49"/>
      <c r="I784" s="48"/>
      <c r="J784" s="49"/>
    </row>
    <row r="785" spans="1:10" ht="12.75">
      <c r="A785" s="42"/>
      <c r="B785" s="80"/>
      <c r="C785" s="60"/>
      <c r="D785" s="48"/>
      <c r="E785" s="48"/>
      <c r="F785" s="69"/>
      <c r="G785" s="48"/>
      <c r="H785" s="49"/>
      <c r="I785" s="48"/>
      <c r="J785" s="49"/>
    </row>
    <row r="786" spans="1:10" ht="12.75">
      <c r="A786" s="42"/>
      <c r="B786" s="80"/>
      <c r="C786" s="86"/>
      <c r="D786" s="48"/>
      <c r="E786" s="48"/>
      <c r="F786" s="49"/>
      <c r="G786" s="48"/>
      <c r="H786" s="49"/>
      <c r="I786" s="48"/>
      <c r="J786" s="49"/>
    </row>
    <row r="787" spans="1:10" ht="12.75">
      <c r="A787" s="42"/>
      <c r="B787" s="80"/>
      <c r="C787" s="86"/>
      <c r="D787" s="48"/>
      <c r="E787" s="48"/>
      <c r="F787" s="49"/>
      <c r="G787" s="48"/>
      <c r="H787" s="49"/>
      <c r="I787" s="48"/>
      <c r="J787" s="49"/>
    </row>
    <row r="788" spans="1:10" ht="12.75">
      <c r="A788" s="42"/>
      <c r="B788" s="80"/>
      <c r="C788" s="86"/>
      <c r="D788" s="48"/>
      <c r="E788" s="48"/>
      <c r="F788" s="49"/>
      <c r="G788" s="48"/>
      <c r="H788" s="49"/>
      <c r="I788" s="48"/>
      <c r="J788" s="49"/>
    </row>
    <row r="789" spans="1:10" ht="12.75">
      <c r="A789" s="42"/>
      <c r="B789" s="80"/>
      <c r="C789" s="86"/>
      <c r="D789" s="48"/>
      <c r="E789" s="48"/>
      <c r="F789" s="49"/>
      <c r="G789" s="48"/>
      <c r="H789" s="49"/>
      <c r="I789" s="48"/>
      <c r="J789" s="49"/>
    </row>
    <row r="790" spans="1:10" ht="12.75">
      <c r="A790" s="42"/>
      <c r="B790" s="80"/>
      <c r="C790" s="86"/>
      <c r="D790" s="48"/>
      <c r="E790" s="48"/>
      <c r="F790" s="49"/>
      <c r="G790" s="48"/>
      <c r="H790" s="49"/>
      <c r="I790" s="48"/>
      <c r="J790" s="49"/>
    </row>
    <row r="791" spans="1:10" ht="12.75">
      <c r="A791" s="42"/>
      <c r="B791" s="80"/>
      <c r="C791" s="86"/>
      <c r="D791" s="48"/>
      <c r="E791" s="48"/>
      <c r="F791" s="49"/>
      <c r="G791" s="48"/>
      <c r="H791" s="49"/>
      <c r="I791" s="48"/>
      <c r="J791" s="49"/>
    </row>
    <row r="792" spans="1:10" ht="12.75">
      <c r="A792" s="42"/>
      <c r="B792" s="80"/>
      <c r="C792" s="86"/>
      <c r="D792" s="48"/>
      <c r="E792" s="48"/>
      <c r="F792" s="49"/>
      <c r="G792" s="48"/>
      <c r="H792" s="49"/>
      <c r="I792" s="48"/>
      <c r="J792" s="49"/>
    </row>
    <row r="793" spans="1:10" ht="12.75">
      <c r="A793" s="42"/>
      <c r="B793" s="80"/>
      <c r="C793" s="86"/>
      <c r="D793" s="48"/>
      <c r="E793" s="48"/>
      <c r="F793" s="49"/>
      <c r="G793" s="48"/>
      <c r="H793" s="49"/>
      <c r="I793" s="48"/>
      <c r="J793" s="49"/>
    </row>
    <row r="794" spans="1:10" ht="12.75">
      <c r="A794" s="42"/>
      <c r="B794" s="80"/>
      <c r="C794" s="86"/>
      <c r="D794" s="48"/>
      <c r="E794" s="48"/>
      <c r="F794" s="49"/>
      <c r="G794" s="48"/>
      <c r="H794" s="49"/>
      <c r="I794" s="48"/>
      <c r="J794" s="49"/>
    </row>
    <row r="795" spans="1:10" ht="12.75">
      <c r="A795" s="42"/>
      <c r="B795" s="80"/>
      <c r="C795" s="86"/>
      <c r="D795" s="48"/>
      <c r="E795" s="48"/>
      <c r="F795" s="49"/>
      <c r="G795" s="48"/>
      <c r="H795" s="49"/>
      <c r="I795" s="48"/>
      <c r="J795" s="49"/>
    </row>
    <row r="796" spans="1:10" ht="12.75">
      <c r="A796" s="42"/>
      <c r="B796" s="80"/>
      <c r="C796" s="86"/>
      <c r="D796" s="48"/>
      <c r="E796" s="48"/>
      <c r="F796" s="49"/>
      <c r="G796" s="48"/>
      <c r="H796" s="49"/>
      <c r="I796" s="48"/>
      <c r="J796" s="49"/>
    </row>
    <row r="797" spans="1:10" ht="12.75">
      <c r="A797" s="42"/>
      <c r="B797" s="80"/>
      <c r="C797" s="86"/>
      <c r="D797" s="48"/>
      <c r="E797" s="48"/>
      <c r="F797" s="49"/>
      <c r="G797" s="48"/>
      <c r="H797" s="49"/>
      <c r="I797" s="48"/>
      <c r="J797" s="49"/>
    </row>
    <row r="798" spans="1:10" ht="12.75">
      <c r="A798" s="42"/>
      <c r="B798" s="80"/>
      <c r="C798" s="86"/>
      <c r="D798" s="48"/>
      <c r="E798" s="48"/>
      <c r="F798" s="49"/>
      <c r="G798" s="48"/>
      <c r="H798" s="49"/>
      <c r="I798" s="48"/>
      <c r="J798" s="49"/>
    </row>
    <row r="799" spans="1:10" ht="12.75">
      <c r="A799" s="42"/>
      <c r="B799" s="80"/>
      <c r="C799" s="86"/>
      <c r="D799" s="48"/>
      <c r="E799" s="48"/>
      <c r="F799" s="49"/>
      <c r="G799" s="48"/>
      <c r="H799" s="49"/>
      <c r="I799" s="48"/>
      <c r="J799" s="49"/>
    </row>
    <row r="800" spans="1:10" ht="12.75">
      <c r="A800" s="42"/>
      <c r="B800" s="80"/>
      <c r="C800" s="86"/>
      <c r="D800" s="48"/>
      <c r="E800" s="48"/>
      <c r="F800" s="49"/>
      <c r="G800" s="48"/>
      <c r="H800" s="49"/>
      <c r="I800" s="48"/>
      <c r="J800" s="49"/>
    </row>
    <row r="801" spans="1:10" ht="12.75">
      <c r="A801" s="42" t="s">
        <v>207</v>
      </c>
      <c r="B801" s="80"/>
      <c r="C801" s="86"/>
      <c r="D801" s="48"/>
      <c r="E801" s="48"/>
      <c r="F801" s="49"/>
      <c r="G801" s="48"/>
      <c r="H801" s="49">
        <f>SUM(H775:H800)</f>
        <v>0</v>
      </c>
      <c r="I801" s="48"/>
      <c r="J801" s="49">
        <f>SUM(J775:J800)</f>
        <v>16687</v>
      </c>
    </row>
    <row r="802" spans="1:10" ht="12.75">
      <c r="A802" s="43"/>
      <c r="B802" s="80"/>
      <c r="C802" s="86"/>
      <c r="D802" s="48"/>
      <c r="E802" s="48"/>
      <c r="F802" s="49"/>
      <c r="G802" s="48"/>
      <c r="H802" s="49"/>
      <c r="I802" s="48"/>
      <c r="J802" s="49"/>
    </row>
    <row r="803" spans="1:10" ht="12.75">
      <c r="A803" s="43"/>
      <c r="B803" s="84"/>
      <c r="C803" s="88"/>
      <c r="D803" s="54"/>
      <c r="E803" s="54"/>
      <c r="F803" s="55"/>
      <c r="G803" s="54"/>
      <c r="H803" s="55"/>
      <c r="I803" s="54"/>
      <c r="J803" s="55"/>
    </row>
    <row r="804" spans="1:10" ht="12.75"/>
    <row r="805" spans="1:10" ht="12.75"/>
    <row r="806" spans="1:10" ht="12.75">
      <c r="A806" s="41" t="s">
        <v>187</v>
      </c>
      <c r="B806" s="41"/>
      <c r="C806" s="41"/>
      <c r="D806" s="41"/>
      <c r="E806" s="41"/>
      <c r="F806" s="41"/>
    </row>
    <row r="807" spans="1:10" ht="12.75">
      <c r="F807" s="68" t="s">
        <v>113</v>
      </c>
    </row>
    <row r="808" spans="1:10" ht="12.75"/>
    <row r="809" spans="1:10" ht="12.75">
      <c r="A809" s="42" t="s">
        <v>188</v>
      </c>
      <c r="B809" s="42" t="s">
        <v>189</v>
      </c>
      <c r="C809" s="42"/>
      <c r="D809" s="42"/>
      <c r="E809" s="42"/>
      <c r="F809" s="42"/>
      <c r="G809" s="43" t="s">
        <v>113</v>
      </c>
      <c r="H809" s="42" t="s">
        <v>175</v>
      </c>
      <c r="I809" s="90" t="s">
        <v>190</v>
      </c>
      <c r="J809" s="43"/>
    </row>
    <row r="810" spans="1:10" ht="12.75">
      <c r="A810" s="42" t="s">
        <v>191</v>
      </c>
      <c r="B810" s="89">
        <v>45978</v>
      </c>
      <c r="C810" s="42"/>
      <c r="D810" s="42"/>
      <c r="E810" s="42"/>
      <c r="F810" s="42"/>
      <c r="G810" s="43"/>
      <c r="H810" s="42" t="s">
        <v>192</v>
      </c>
      <c r="I810" s="91" t="s">
        <v>109</v>
      </c>
      <c r="J810" s="43"/>
    </row>
    <row r="811" spans="1:10" ht="12.75">
      <c r="A811" s="42"/>
      <c r="B811" s="42"/>
      <c r="C811" s="42"/>
      <c r="D811" s="42"/>
      <c r="E811" s="42"/>
      <c r="F811" s="42"/>
      <c r="G811" s="43"/>
      <c r="H811" s="43"/>
      <c r="I811" s="43"/>
      <c r="J811" s="43"/>
    </row>
    <row r="812" spans="1:10" ht="12.75">
      <c r="A812" s="42"/>
      <c r="B812" s="44" t="s">
        <v>193</v>
      </c>
      <c r="C812" s="44" t="s">
        <v>194</v>
      </c>
      <c r="D812" s="44" t="s">
        <v>195</v>
      </c>
      <c r="E812" s="44" t="s">
        <v>196</v>
      </c>
      <c r="F812" s="44" t="s">
        <v>197</v>
      </c>
      <c r="G812" s="44" t="s">
        <v>198</v>
      </c>
      <c r="H812" s="44" t="s">
        <v>199</v>
      </c>
      <c r="I812" s="44" t="s">
        <v>200</v>
      </c>
      <c r="J812" s="44" t="s">
        <v>199</v>
      </c>
    </row>
    <row r="813" spans="1:10" ht="12.75">
      <c r="A813" s="42"/>
      <c r="B813" s="79"/>
      <c r="C813" s="85"/>
      <c r="D813" s="45"/>
      <c r="E813" s="45"/>
      <c r="F813" s="46"/>
      <c r="G813" s="45"/>
      <c r="H813" s="46"/>
      <c r="I813" s="45"/>
      <c r="J813" s="47"/>
    </row>
    <row r="814" spans="1:10" ht="12.75">
      <c r="B814" s="80">
        <v>1</v>
      </c>
      <c r="C814" s="86" t="s">
        <v>201</v>
      </c>
      <c r="D814" s="48" t="s">
        <v>202</v>
      </c>
      <c r="E814" s="48"/>
      <c r="F814" s="69">
        <v>45978</v>
      </c>
      <c r="G814" s="48" t="s">
        <v>125</v>
      </c>
      <c r="H814" s="49">
        <v>13838</v>
      </c>
      <c r="I814" s="48" t="s">
        <v>113</v>
      </c>
      <c r="J814" s="49" t="s">
        <v>113</v>
      </c>
    </row>
    <row r="815" spans="1:10" ht="12.75">
      <c r="A815" s="42"/>
      <c r="B815" s="80"/>
      <c r="C815" s="86"/>
      <c r="D815" s="48"/>
      <c r="E815" s="48"/>
      <c r="F815" s="49"/>
      <c r="G815" s="48"/>
      <c r="H815" s="49"/>
      <c r="I815" s="48"/>
      <c r="J815" s="49"/>
    </row>
    <row r="816" spans="1:10" ht="12.75">
      <c r="B816" s="81"/>
      <c r="C816" s="59"/>
      <c r="D816" s="48"/>
      <c r="E816" s="48"/>
      <c r="F816" s="69"/>
      <c r="G816" s="48"/>
      <c r="H816" s="49"/>
      <c r="I816" s="48"/>
      <c r="J816" s="49"/>
    </row>
    <row r="817" spans="1:11" ht="12.75">
      <c r="B817" s="81"/>
      <c r="C817" s="59"/>
      <c r="D817" s="48"/>
      <c r="E817" s="48"/>
      <c r="F817" s="49"/>
      <c r="G817" s="48"/>
      <c r="H817" s="49"/>
      <c r="I817" s="48"/>
      <c r="J817" s="49"/>
    </row>
    <row r="818" spans="1:11" ht="12.75">
      <c r="A818" s="42"/>
      <c r="B818" s="81"/>
      <c r="C818" s="104"/>
      <c r="D818" s="48"/>
      <c r="E818" s="48"/>
      <c r="F818" s="69"/>
      <c r="G818" s="48"/>
      <c r="H818" s="49"/>
      <c r="I818" s="48"/>
      <c r="J818" s="49"/>
    </row>
    <row r="819" spans="1:11" ht="12.75">
      <c r="A819" s="42"/>
      <c r="B819" s="81"/>
      <c r="C819" s="59"/>
      <c r="D819" s="48"/>
      <c r="E819" s="48"/>
      <c r="F819" s="49"/>
      <c r="G819" s="48"/>
      <c r="H819" s="49"/>
      <c r="I819" s="48"/>
      <c r="J819" s="49"/>
    </row>
    <row r="820" spans="1:11" ht="12.75">
      <c r="A820" s="42"/>
      <c r="B820" s="82"/>
      <c r="C820" s="60"/>
      <c r="D820" s="48"/>
      <c r="E820" s="48"/>
      <c r="F820" s="69"/>
      <c r="G820" s="48"/>
      <c r="H820" s="49"/>
      <c r="I820" s="48"/>
      <c r="J820" s="49"/>
    </row>
    <row r="821" spans="1:11" ht="12.75">
      <c r="B821" s="80"/>
      <c r="C821" s="86"/>
      <c r="D821" s="48"/>
      <c r="E821" s="48"/>
      <c r="F821" s="49"/>
      <c r="G821" s="48"/>
      <c r="H821" s="49"/>
      <c r="I821" s="48"/>
      <c r="J821" s="49"/>
    </row>
    <row r="822" spans="1:11" ht="12.75">
      <c r="A822" s="42"/>
      <c r="B822" s="80"/>
      <c r="C822" s="86"/>
      <c r="D822" s="48"/>
      <c r="E822" s="48"/>
      <c r="F822" s="49"/>
      <c r="G822" s="48"/>
      <c r="H822" s="49"/>
      <c r="I822" s="48"/>
      <c r="J822" s="49"/>
    </row>
    <row r="823" spans="1:11" ht="12.75">
      <c r="A823" s="42"/>
      <c r="B823" s="80"/>
      <c r="C823" s="86"/>
      <c r="D823" s="48"/>
      <c r="E823" s="48"/>
      <c r="F823" s="49"/>
      <c r="G823" s="48"/>
      <c r="H823" s="49"/>
      <c r="I823" s="48"/>
      <c r="J823" s="49"/>
    </row>
    <row r="824" spans="1:11" ht="12.75">
      <c r="A824" s="42"/>
      <c r="B824" s="80"/>
      <c r="C824" s="86"/>
      <c r="D824" s="48"/>
      <c r="E824" s="48"/>
      <c r="F824" s="49"/>
      <c r="G824" s="48"/>
      <c r="H824" s="49"/>
      <c r="I824" s="48"/>
      <c r="J824" s="49"/>
    </row>
    <row r="825" spans="1:11" ht="12.75">
      <c r="A825" s="42"/>
      <c r="B825" s="80"/>
      <c r="C825" s="86"/>
      <c r="D825" s="48"/>
      <c r="E825" s="48"/>
      <c r="F825" s="49"/>
      <c r="G825" s="48"/>
      <c r="H825" s="49"/>
      <c r="I825" s="48"/>
      <c r="J825" s="49"/>
    </row>
    <row r="826" spans="1:11" ht="12.75">
      <c r="A826" s="42"/>
      <c r="B826" s="80"/>
      <c r="C826" s="86"/>
      <c r="D826" s="48"/>
      <c r="E826" s="48"/>
      <c r="F826" s="49"/>
      <c r="G826" s="48"/>
      <c r="H826" s="49"/>
      <c r="I826" s="48"/>
      <c r="J826" s="49"/>
    </row>
    <row r="827" spans="1:11" ht="12.75">
      <c r="A827" s="50"/>
      <c r="B827" s="83"/>
      <c r="C827" s="87"/>
      <c r="D827" s="51"/>
      <c r="E827" s="51"/>
      <c r="F827" s="52"/>
      <c r="G827" s="51"/>
      <c r="H827" s="52"/>
      <c r="I827" s="51"/>
      <c r="J827" s="52"/>
      <c r="K827" s="53"/>
    </row>
    <row r="828" spans="1:11" ht="12.75">
      <c r="A828" s="42"/>
      <c r="B828" s="80"/>
      <c r="C828" s="86"/>
      <c r="D828" s="48"/>
      <c r="E828" s="48"/>
      <c r="F828" s="49"/>
      <c r="G828" s="48"/>
      <c r="H828" s="49"/>
      <c r="I828" s="48"/>
      <c r="J828" s="49"/>
    </row>
    <row r="829" spans="1:11" ht="12.75">
      <c r="A829" s="42"/>
      <c r="B829" s="80"/>
      <c r="C829" s="86"/>
      <c r="D829" s="48"/>
      <c r="E829" s="48"/>
      <c r="F829" s="49"/>
      <c r="G829" s="48"/>
      <c r="H829" s="49"/>
      <c r="I829" s="48"/>
      <c r="J829" s="49"/>
    </row>
    <row r="830" spans="1:11" ht="12.75">
      <c r="A830" s="42"/>
      <c r="B830" s="80"/>
      <c r="C830" s="86"/>
      <c r="D830" s="48"/>
      <c r="E830" s="48"/>
      <c r="F830" s="49"/>
      <c r="G830" s="48"/>
      <c r="H830" s="49"/>
      <c r="I830" s="48"/>
      <c r="J830" s="49"/>
    </row>
    <row r="831" spans="1:11" ht="12.75">
      <c r="A831" s="42"/>
      <c r="B831" s="80"/>
      <c r="C831" s="86"/>
      <c r="D831" s="48"/>
      <c r="E831" s="48"/>
      <c r="F831" s="49"/>
      <c r="G831" s="48"/>
      <c r="H831" s="49"/>
      <c r="I831" s="48"/>
      <c r="J831" s="49"/>
    </row>
    <row r="832" spans="1:11" ht="12.75">
      <c r="A832" s="42"/>
      <c r="B832" s="80"/>
      <c r="C832" s="86"/>
      <c r="D832" s="48"/>
      <c r="E832" s="48"/>
      <c r="F832" s="49"/>
      <c r="G832" s="48"/>
      <c r="H832" s="49"/>
      <c r="I832" s="48"/>
      <c r="J832" s="49"/>
    </row>
    <row r="833" spans="1:10" ht="12.75">
      <c r="A833" s="42"/>
      <c r="B833" s="80"/>
      <c r="C833" s="86"/>
      <c r="D833" s="48"/>
      <c r="E833" s="48"/>
      <c r="F833" s="49"/>
      <c r="G833" s="48"/>
      <c r="H833" s="49"/>
      <c r="I833" s="48"/>
      <c r="J833" s="49"/>
    </row>
    <row r="834" spans="1:10" ht="12.75">
      <c r="A834" s="42"/>
      <c r="B834" s="80"/>
      <c r="C834" s="86"/>
      <c r="D834" s="48"/>
      <c r="E834" s="48"/>
      <c r="F834" s="49"/>
      <c r="G834" s="48"/>
      <c r="H834" s="49"/>
      <c r="I834" s="48"/>
      <c r="J834" s="49"/>
    </row>
    <row r="835" spans="1:10" ht="12.75">
      <c r="A835" s="42"/>
      <c r="B835" s="80"/>
      <c r="C835" s="86"/>
      <c r="D835" s="48"/>
      <c r="E835" s="48"/>
      <c r="F835" s="49"/>
      <c r="G835" s="48"/>
      <c r="H835" s="49"/>
      <c r="I835" s="48"/>
      <c r="J835" s="49"/>
    </row>
    <row r="836" spans="1:10" ht="12.75">
      <c r="A836" s="42"/>
      <c r="B836" s="80"/>
      <c r="C836" s="86"/>
      <c r="D836" s="48"/>
      <c r="E836" s="48"/>
      <c r="F836" s="49"/>
      <c r="G836" s="48"/>
      <c r="H836" s="49"/>
      <c r="I836" s="48"/>
      <c r="J836" s="49"/>
    </row>
    <row r="837" spans="1:10" ht="12.75">
      <c r="A837" s="42"/>
      <c r="B837" s="80"/>
      <c r="C837" s="86"/>
      <c r="D837" s="48"/>
      <c r="E837" s="48"/>
      <c r="F837" s="49"/>
      <c r="G837" s="48"/>
      <c r="H837" s="49"/>
      <c r="I837" s="48"/>
      <c r="J837" s="49"/>
    </row>
    <row r="838" spans="1:10" ht="12.75">
      <c r="A838" s="42"/>
      <c r="B838" s="80"/>
      <c r="C838" s="86"/>
      <c r="D838" s="48"/>
      <c r="E838" s="48"/>
      <c r="F838" s="49"/>
      <c r="G838" s="48"/>
      <c r="H838" s="49"/>
      <c r="I838" s="48"/>
      <c r="J838" s="49"/>
    </row>
    <row r="839" spans="1:10" ht="12.75">
      <c r="A839" s="42"/>
      <c r="B839" s="80"/>
      <c r="C839" s="86"/>
      <c r="D839" s="48"/>
      <c r="E839" s="48"/>
      <c r="F839" s="49"/>
      <c r="G839" s="48"/>
      <c r="H839" s="49"/>
      <c r="I839" s="48"/>
      <c r="J839" s="49"/>
    </row>
    <row r="840" spans="1:10" ht="12.75">
      <c r="A840" s="42"/>
      <c r="B840" s="80"/>
      <c r="C840" s="86"/>
      <c r="D840" s="48"/>
      <c r="E840" s="48"/>
      <c r="F840" s="49"/>
      <c r="G840" s="48"/>
      <c r="H840" s="49"/>
      <c r="I840" s="48"/>
      <c r="J840" s="49"/>
    </row>
    <row r="841" spans="1:10" ht="12.75">
      <c r="A841" s="42"/>
      <c r="B841" s="80"/>
      <c r="C841" s="86"/>
      <c r="D841" s="48"/>
      <c r="E841" s="48"/>
      <c r="F841" s="49"/>
      <c r="G841" s="48"/>
      <c r="H841" s="49"/>
      <c r="I841" s="48"/>
      <c r="J841" s="49"/>
    </row>
    <row r="842" spans="1:10" ht="12.75">
      <c r="A842" s="42"/>
      <c r="B842" s="80"/>
      <c r="C842" s="86"/>
      <c r="D842" s="48"/>
      <c r="E842" s="48"/>
      <c r="F842" s="49"/>
      <c r="G842" s="48"/>
      <c r="H842" s="49"/>
      <c r="I842" s="48"/>
      <c r="J842" s="49"/>
    </row>
    <row r="843" spans="1:10" ht="12.75">
      <c r="A843" s="42" t="s">
        <v>203</v>
      </c>
      <c r="B843" s="80"/>
      <c r="C843" s="86"/>
      <c r="D843" s="48"/>
      <c r="E843" s="48"/>
      <c r="F843" s="49"/>
      <c r="G843" s="48"/>
      <c r="H843" s="49">
        <f>SUM(H814:H842)</f>
        <v>13838</v>
      </c>
      <c r="I843" s="48"/>
      <c r="J843" s="49">
        <f>SUM(J814:J841)</f>
        <v>0</v>
      </c>
    </row>
    <row r="844" spans="1:10" ht="12.75">
      <c r="A844" s="43"/>
      <c r="B844" s="80"/>
      <c r="C844" s="86"/>
      <c r="D844" s="48"/>
      <c r="E844" s="48"/>
      <c r="F844" s="49"/>
      <c r="G844" s="48"/>
      <c r="H844" s="49"/>
      <c r="I844" s="48"/>
      <c r="J844" s="49"/>
    </row>
    <row r="845" spans="1:10" ht="12.75">
      <c r="A845" s="43"/>
      <c r="B845" s="84"/>
      <c r="C845" s="88"/>
      <c r="D845" s="54"/>
      <c r="E845" s="54"/>
      <c r="F845" s="55"/>
      <c r="G845" s="54"/>
      <c r="H845" s="55"/>
      <c r="I845" s="54"/>
      <c r="J845" s="55"/>
    </row>
    <row r="846" spans="1:10" ht="12.75"/>
    <row r="847" spans="1:10" ht="12.75"/>
    <row r="848" spans="1:10" ht="12.75">
      <c r="A848" s="41" t="s">
        <v>204</v>
      </c>
      <c r="B848" s="41"/>
      <c r="C848" s="41"/>
      <c r="D848" s="41"/>
      <c r="E848" s="41"/>
      <c r="F848" s="41"/>
    </row>
    <row r="849" spans="1:10" ht="12.75"/>
    <row r="850" spans="1:10" ht="12.75"/>
    <row r="851" spans="1:10" ht="12.75">
      <c r="A851" s="42" t="s">
        <v>188</v>
      </c>
      <c r="B851" s="42" t="s">
        <v>189</v>
      </c>
      <c r="C851" s="42"/>
      <c r="D851" s="42"/>
      <c r="E851" s="42"/>
      <c r="F851" s="42"/>
      <c r="G851" s="43" t="s">
        <v>113</v>
      </c>
      <c r="H851" s="42" t="s">
        <v>205</v>
      </c>
      <c r="I851" s="42" t="s">
        <v>208</v>
      </c>
      <c r="J851" s="43"/>
    </row>
    <row r="852" spans="1:10" ht="12.75">
      <c r="A852" s="42" t="s">
        <v>191</v>
      </c>
      <c r="B852" s="89">
        <v>45978</v>
      </c>
      <c r="C852" s="42"/>
      <c r="D852" s="42"/>
      <c r="E852" s="42"/>
      <c r="F852" s="42"/>
      <c r="G852" s="43"/>
      <c r="H852" s="42" t="s">
        <v>192</v>
      </c>
      <c r="I852" s="91" t="s">
        <v>137</v>
      </c>
      <c r="J852" s="43"/>
    </row>
    <row r="853" spans="1:10" ht="12.75">
      <c r="A853" s="42"/>
      <c r="B853" s="42"/>
      <c r="C853" s="42"/>
      <c r="D853" s="42"/>
      <c r="E853" s="42"/>
      <c r="F853" s="42"/>
      <c r="G853" s="43"/>
      <c r="H853" s="43"/>
      <c r="I853" s="43"/>
      <c r="J853" s="43"/>
    </row>
    <row r="854" spans="1:10" ht="12.75">
      <c r="A854" s="42"/>
      <c r="B854" s="44" t="s">
        <v>193</v>
      </c>
      <c r="C854" s="44" t="s">
        <v>194</v>
      </c>
      <c r="D854" s="44" t="s">
        <v>195</v>
      </c>
      <c r="E854" s="44" t="s">
        <v>196</v>
      </c>
      <c r="F854" s="44" t="s">
        <v>197</v>
      </c>
      <c r="G854" s="44" t="s">
        <v>198</v>
      </c>
      <c r="H854" s="44" t="s">
        <v>199</v>
      </c>
      <c r="I854" s="44" t="s">
        <v>200</v>
      </c>
      <c r="J854" s="44" t="s">
        <v>199</v>
      </c>
    </row>
    <row r="855" spans="1:10" ht="12.75">
      <c r="A855" s="42"/>
      <c r="B855" s="79"/>
      <c r="C855" s="85"/>
      <c r="D855" s="45"/>
      <c r="E855" s="45"/>
      <c r="F855" s="46"/>
      <c r="G855" s="45"/>
      <c r="H855" s="46"/>
      <c r="I855" s="45"/>
      <c r="J855" s="47"/>
    </row>
    <row r="856" spans="1:10" ht="12.75">
      <c r="B856" s="82">
        <v>1</v>
      </c>
      <c r="C856" s="60" t="s">
        <v>209</v>
      </c>
      <c r="D856" s="48" t="s">
        <v>202</v>
      </c>
      <c r="E856" s="48"/>
      <c r="F856" s="69">
        <v>45978</v>
      </c>
      <c r="G856" s="48" t="s">
        <v>113</v>
      </c>
      <c r="H856" s="49"/>
      <c r="I856" s="48" t="s">
        <v>139</v>
      </c>
      <c r="J856" s="49">
        <v>13838</v>
      </c>
    </row>
    <row r="857" spans="1:10" ht="12.75">
      <c r="B857" s="82"/>
      <c r="C857" s="60"/>
      <c r="D857" s="48"/>
      <c r="E857" s="48"/>
      <c r="F857" s="49"/>
      <c r="G857" s="48"/>
      <c r="H857" s="49"/>
      <c r="I857" s="48"/>
      <c r="J857" s="49"/>
    </row>
    <row r="858" spans="1:10" ht="12.75">
      <c r="A858" s="42"/>
      <c r="B858" s="82"/>
      <c r="C858" s="60"/>
      <c r="D858" s="48"/>
      <c r="E858" s="48"/>
      <c r="F858" s="69"/>
      <c r="G858" s="48"/>
      <c r="H858" s="49"/>
      <c r="I858" s="48"/>
      <c r="J858" s="49"/>
    </row>
    <row r="859" spans="1:10" ht="12.75">
      <c r="A859" s="42"/>
      <c r="B859" s="82"/>
      <c r="C859" s="60"/>
      <c r="D859" s="48"/>
      <c r="E859" s="48"/>
      <c r="F859" s="49"/>
      <c r="G859" s="48"/>
      <c r="H859" s="49"/>
      <c r="I859" s="48"/>
      <c r="J859" s="49"/>
    </row>
    <row r="860" spans="1:10" ht="12.75">
      <c r="B860" s="82"/>
      <c r="C860" s="60"/>
      <c r="D860" s="48"/>
      <c r="E860" s="48"/>
      <c r="F860" s="69"/>
      <c r="G860" s="48"/>
      <c r="H860" s="49"/>
      <c r="I860" s="48"/>
      <c r="J860" s="49"/>
    </row>
    <row r="861" spans="1:10" ht="12.75">
      <c r="B861" s="82"/>
      <c r="C861" s="60"/>
      <c r="D861" s="48"/>
      <c r="E861" s="48"/>
      <c r="F861" s="49"/>
      <c r="G861" s="48"/>
      <c r="H861" s="49"/>
      <c r="I861" s="48"/>
      <c r="J861" s="49"/>
    </row>
    <row r="862" spans="1:10" ht="12.75">
      <c r="A862" s="42"/>
      <c r="B862" s="82"/>
      <c r="C862" s="60"/>
      <c r="D862" s="48"/>
      <c r="E862" s="48"/>
      <c r="F862" s="69"/>
      <c r="G862" s="48"/>
      <c r="H862" s="49"/>
      <c r="I862" s="48"/>
      <c r="J862" s="49"/>
    </row>
    <row r="863" spans="1:10" ht="12.75">
      <c r="A863" s="42"/>
      <c r="B863" s="80"/>
      <c r="C863" s="86"/>
      <c r="D863" s="48"/>
      <c r="E863" s="48"/>
      <c r="F863" s="49"/>
      <c r="G863" s="48"/>
      <c r="H863" s="49"/>
      <c r="I863" s="48"/>
      <c r="J863" s="49"/>
    </row>
    <row r="864" spans="1:10" ht="12.75">
      <c r="B864" s="80"/>
      <c r="C864" s="60"/>
      <c r="D864" s="48"/>
      <c r="E864" s="48"/>
      <c r="F864" s="69"/>
      <c r="G864" s="48"/>
      <c r="H864" s="49"/>
      <c r="I864" s="48"/>
      <c r="J864" s="49"/>
    </row>
    <row r="865" spans="1:10" ht="12.75">
      <c r="A865" s="42"/>
      <c r="B865" s="80"/>
      <c r="C865" s="86"/>
      <c r="D865" s="48"/>
      <c r="E865" s="48"/>
      <c r="F865" s="49"/>
      <c r="G865" s="48"/>
      <c r="H865" s="49"/>
      <c r="I865" s="48"/>
      <c r="J865" s="49"/>
    </row>
    <row r="866" spans="1:10" ht="12.75">
      <c r="A866" s="42"/>
      <c r="B866" s="80"/>
      <c r="C866" s="60"/>
      <c r="D866" s="48"/>
      <c r="E866" s="48"/>
      <c r="F866" s="69"/>
      <c r="G866" s="48"/>
      <c r="H866" s="49"/>
      <c r="I866" s="48"/>
      <c r="J866" s="49"/>
    </row>
    <row r="867" spans="1:10" ht="12.75">
      <c r="A867" s="42"/>
      <c r="B867" s="80"/>
      <c r="C867" s="86"/>
      <c r="D867" s="48"/>
      <c r="E867" s="48"/>
      <c r="F867" s="49"/>
      <c r="G867" s="48"/>
      <c r="H867" s="49"/>
      <c r="I867" s="48"/>
      <c r="J867" s="49"/>
    </row>
    <row r="868" spans="1:10" ht="12.75">
      <c r="A868" s="42"/>
      <c r="B868" s="80"/>
      <c r="C868" s="86"/>
      <c r="D868" s="48"/>
      <c r="E868" s="48"/>
      <c r="F868" s="49"/>
      <c r="G868" s="48"/>
      <c r="H868" s="49"/>
      <c r="I868" s="48"/>
      <c r="J868" s="49"/>
    </row>
    <row r="869" spans="1:10" ht="12.75">
      <c r="A869" s="42"/>
      <c r="B869" s="80"/>
      <c r="C869" s="86"/>
      <c r="D869" s="48"/>
      <c r="E869" s="48"/>
      <c r="F869" s="49"/>
      <c r="G869" s="48"/>
      <c r="H869" s="49"/>
      <c r="I869" s="48"/>
      <c r="J869" s="49"/>
    </row>
    <row r="870" spans="1:10" ht="12.75">
      <c r="A870" s="42"/>
      <c r="B870" s="80"/>
      <c r="C870" s="86"/>
      <c r="D870" s="48"/>
      <c r="E870" s="48"/>
      <c r="F870" s="49"/>
      <c r="G870" s="48"/>
      <c r="H870" s="49"/>
      <c r="I870" s="48"/>
      <c r="J870" s="49"/>
    </row>
    <row r="871" spans="1:10" ht="12.75">
      <c r="A871" s="42"/>
      <c r="B871" s="80"/>
      <c r="C871" s="86"/>
      <c r="D871" s="48"/>
      <c r="E871" s="48"/>
      <c r="F871" s="49"/>
      <c r="G871" s="48"/>
      <c r="H871" s="49"/>
      <c r="I871" s="48"/>
      <c r="J871" s="49"/>
    </row>
    <row r="872" spans="1:10" ht="12.75">
      <c r="A872" s="42"/>
      <c r="B872" s="80"/>
      <c r="C872" s="86"/>
      <c r="D872" s="48"/>
      <c r="E872" s="48"/>
      <c r="F872" s="49"/>
      <c r="G872" s="48"/>
      <c r="H872" s="49"/>
      <c r="I872" s="48"/>
      <c r="J872" s="49"/>
    </row>
    <row r="873" spans="1:10" ht="12.75">
      <c r="A873" s="42"/>
      <c r="B873" s="80"/>
      <c r="C873" s="86"/>
      <c r="D873" s="48"/>
      <c r="E873" s="48"/>
      <c r="F873" s="49"/>
      <c r="G873" s="48"/>
      <c r="H873" s="49"/>
      <c r="I873" s="48"/>
      <c r="J873" s="49"/>
    </row>
    <row r="874" spans="1:10" ht="12.75">
      <c r="A874" s="42"/>
      <c r="B874" s="80"/>
      <c r="C874" s="86"/>
      <c r="D874" s="48"/>
      <c r="E874" s="48"/>
      <c r="F874" s="49"/>
      <c r="G874" s="48"/>
      <c r="H874" s="49"/>
      <c r="I874" s="48"/>
      <c r="J874" s="49"/>
    </row>
    <row r="875" spans="1:10" ht="12.75">
      <c r="A875" s="42"/>
      <c r="B875" s="80"/>
      <c r="C875" s="86"/>
      <c r="D875" s="48"/>
      <c r="E875" s="48"/>
      <c r="F875" s="49"/>
      <c r="G875" s="48"/>
      <c r="H875" s="49"/>
      <c r="I875" s="48"/>
      <c r="J875" s="49"/>
    </row>
    <row r="876" spans="1:10" ht="12.75">
      <c r="A876" s="42"/>
      <c r="B876" s="80"/>
      <c r="C876" s="86"/>
      <c r="D876" s="48"/>
      <c r="E876" s="48"/>
      <c r="F876" s="49"/>
      <c r="G876" s="48"/>
      <c r="H876" s="49"/>
      <c r="I876" s="48"/>
      <c r="J876" s="49"/>
    </row>
    <row r="877" spans="1:10" ht="12.75">
      <c r="A877" s="42"/>
      <c r="B877" s="80"/>
      <c r="C877" s="86"/>
      <c r="D877" s="48"/>
      <c r="E877" s="48"/>
      <c r="F877" s="49"/>
      <c r="G877" s="48"/>
      <c r="H877" s="49"/>
      <c r="I877" s="48"/>
      <c r="J877" s="49"/>
    </row>
    <row r="878" spans="1:10" ht="12.75">
      <c r="A878" s="42"/>
      <c r="B878" s="80"/>
      <c r="C878" s="86"/>
      <c r="D878" s="48"/>
      <c r="E878" s="48"/>
      <c r="F878" s="49"/>
      <c r="G878" s="48"/>
      <c r="H878" s="49"/>
      <c r="I878" s="48"/>
      <c r="J878" s="49"/>
    </row>
    <row r="879" spans="1:10" ht="12.75">
      <c r="A879" s="42"/>
      <c r="B879" s="80"/>
      <c r="C879" s="86"/>
      <c r="D879" s="48"/>
      <c r="E879" s="48"/>
      <c r="F879" s="49"/>
      <c r="G879" s="48"/>
      <c r="H879" s="49"/>
      <c r="I879" s="48"/>
      <c r="J879" s="49"/>
    </row>
    <row r="880" spans="1:10" ht="12.75">
      <c r="A880" s="42"/>
      <c r="B880" s="80"/>
      <c r="C880" s="86"/>
      <c r="D880" s="48"/>
      <c r="E880" s="48"/>
      <c r="F880" s="49"/>
      <c r="G880" s="48"/>
      <c r="H880" s="49"/>
      <c r="I880" s="48"/>
      <c r="J880" s="49"/>
    </row>
    <row r="881" spans="1:10" ht="12.75">
      <c r="A881" s="42"/>
      <c r="B881" s="80"/>
      <c r="C881" s="86"/>
      <c r="D881" s="48"/>
      <c r="E881" s="48"/>
      <c r="F881" s="49"/>
      <c r="G881" s="48"/>
      <c r="H881" s="49"/>
      <c r="I881" s="48"/>
      <c r="J881" s="49"/>
    </row>
    <row r="882" spans="1:10" ht="12.75">
      <c r="A882" s="42" t="s">
        <v>207</v>
      </c>
      <c r="B882" s="80"/>
      <c r="C882" s="86"/>
      <c r="D882" s="48"/>
      <c r="E882" s="48"/>
      <c r="F882" s="49"/>
      <c r="G882" s="48"/>
      <c r="H882" s="49"/>
      <c r="I882" s="48"/>
      <c r="J882" s="49">
        <f>SUM(J856:J881)</f>
        <v>13838</v>
      </c>
    </row>
    <row r="883" spans="1:10" ht="12.75">
      <c r="A883" s="43"/>
      <c r="B883" s="80"/>
      <c r="C883" s="86"/>
      <c r="D883" s="48"/>
      <c r="E883" s="48"/>
      <c r="F883" s="49"/>
      <c r="G883" s="48"/>
      <c r="H883" s="49"/>
      <c r="I883" s="48"/>
      <c r="J883" s="49"/>
    </row>
    <row r="884" spans="1:10" ht="12.75">
      <c r="A884" s="43"/>
      <c r="B884" s="84"/>
      <c r="C884" s="88"/>
      <c r="D884" s="54"/>
      <c r="E884" s="54"/>
      <c r="F884" s="55"/>
      <c r="G884" s="54"/>
      <c r="H884" s="55"/>
      <c r="I884" s="54"/>
      <c r="J884" s="55"/>
    </row>
    <row r="885" spans="1:10" ht="12.75"/>
    <row r="886" spans="1:10" ht="12.75"/>
    <row r="887" spans="1:10" ht="12.75">
      <c r="A887" s="41" t="s">
        <v>204</v>
      </c>
      <c r="B887" s="41"/>
      <c r="C887" s="41"/>
      <c r="D887" s="41"/>
      <c r="E887" s="41"/>
      <c r="F887" s="41"/>
    </row>
    <row r="888" spans="1:10" ht="12.75"/>
    <row r="889" spans="1:10" ht="12.75"/>
    <row r="890" spans="1:10" ht="12.75">
      <c r="A890" s="42" t="s">
        <v>188</v>
      </c>
      <c r="B890" s="42" t="s">
        <v>189</v>
      </c>
      <c r="C890" s="42"/>
      <c r="D890" s="42"/>
      <c r="E890" s="42"/>
      <c r="F890" s="42"/>
      <c r="G890" s="43" t="s">
        <v>113</v>
      </c>
      <c r="H890" s="42" t="s">
        <v>205</v>
      </c>
      <c r="I890" s="42" t="s">
        <v>210</v>
      </c>
      <c r="J890" s="43"/>
    </row>
    <row r="891" spans="1:10" ht="12.75">
      <c r="A891" s="42" t="s">
        <v>191</v>
      </c>
      <c r="B891" s="89">
        <v>45978</v>
      </c>
      <c r="C891" s="42"/>
      <c r="D891" s="42"/>
      <c r="E891" s="42"/>
      <c r="F891" s="42"/>
      <c r="G891" s="43"/>
      <c r="H891" s="42" t="s">
        <v>192</v>
      </c>
      <c r="I891" s="91" t="s">
        <v>154</v>
      </c>
      <c r="J891" s="43"/>
    </row>
    <row r="892" spans="1:10" ht="12.75">
      <c r="A892" s="42"/>
      <c r="B892" s="42"/>
      <c r="C892" s="42"/>
      <c r="D892" s="42"/>
      <c r="E892" s="42"/>
      <c r="F892" s="42"/>
      <c r="G892" s="43"/>
      <c r="H892" s="43"/>
      <c r="I892" s="43"/>
      <c r="J892" s="43"/>
    </row>
    <row r="893" spans="1:10" ht="12.75">
      <c r="A893" s="42"/>
      <c r="B893" s="44" t="s">
        <v>193</v>
      </c>
      <c r="C893" s="44" t="s">
        <v>194</v>
      </c>
      <c r="D893" s="44" t="s">
        <v>195</v>
      </c>
      <c r="E893" s="44" t="s">
        <v>196</v>
      </c>
      <c r="F893" s="44" t="s">
        <v>197</v>
      </c>
      <c r="G893" s="44" t="s">
        <v>198</v>
      </c>
      <c r="H893" s="44" t="s">
        <v>199</v>
      </c>
      <c r="I893" s="44" t="s">
        <v>200</v>
      </c>
      <c r="J893" s="44" t="s">
        <v>199</v>
      </c>
    </row>
    <row r="894" spans="1:10" ht="12.75">
      <c r="A894" s="42"/>
      <c r="B894" s="79"/>
      <c r="C894" s="85"/>
      <c r="D894" s="45"/>
      <c r="E894" s="45"/>
      <c r="F894" s="46"/>
      <c r="G894" s="45"/>
      <c r="H894" s="46"/>
      <c r="I894" s="45"/>
      <c r="J894" s="47"/>
    </row>
    <row r="895" spans="1:10" ht="12.75">
      <c r="B895" s="82">
        <v>1</v>
      </c>
      <c r="C895" s="60" t="s">
        <v>209</v>
      </c>
      <c r="D895" s="48" t="s">
        <v>202</v>
      </c>
      <c r="E895" s="48"/>
      <c r="F895" s="69">
        <v>45978</v>
      </c>
      <c r="G895" s="48" t="s">
        <v>113</v>
      </c>
      <c r="H895" s="49"/>
      <c r="I895" s="48" t="s">
        <v>139</v>
      </c>
      <c r="J895" s="49">
        <v>1976</v>
      </c>
    </row>
    <row r="896" spans="1:10" ht="12.75">
      <c r="B896" s="82"/>
      <c r="C896" s="60"/>
      <c r="D896" s="48"/>
      <c r="E896" s="48"/>
      <c r="F896" s="49"/>
      <c r="G896" s="48"/>
      <c r="H896" s="49"/>
      <c r="I896" s="48"/>
      <c r="J896" s="49"/>
    </row>
    <row r="897" spans="1:10" ht="12.75">
      <c r="A897" s="42"/>
      <c r="B897" s="82"/>
      <c r="C897" s="60"/>
      <c r="D897" s="48"/>
      <c r="E897" s="48"/>
      <c r="F897" s="69"/>
      <c r="G897" s="48"/>
      <c r="H897" s="49"/>
      <c r="I897" s="48" t="s">
        <v>113</v>
      </c>
      <c r="J897" s="49" t="s">
        <v>113</v>
      </c>
    </row>
    <row r="898" spans="1:10" ht="12.75">
      <c r="A898" s="42"/>
      <c r="B898" s="82"/>
      <c r="C898" s="60"/>
      <c r="D898" s="48"/>
      <c r="E898" s="48"/>
      <c r="F898" s="49"/>
      <c r="G898" s="48"/>
      <c r="H898" s="49"/>
      <c r="I898" s="48"/>
      <c r="J898" s="49"/>
    </row>
    <row r="899" spans="1:10" ht="12.75">
      <c r="B899" s="82"/>
      <c r="C899" s="60"/>
      <c r="D899" s="48"/>
      <c r="E899" s="48"/>
      <c r="F899" s="69"/>
      <c r="G899" s="48"/>
      <c r="H899" s="49"/>
      <c r="I899" s="48"/>
      <c r="J899" s="49"/>
    </row>
    <row r="900" spans="1:10" ht="12.75">
      <c r="B900" s="82"/>
      <c r="C900" s="60"/>
      <c r="D900" s="48"/>
      <c r="E900" s="48"/>
      <c r="F900" s="49"/>
      <c r="G900" s="48"/>
      <c r="H900" s="49"/>
      <c r="I900" s="48"/>
      <c r="J900" s="49"/>
    </row>
    <row r="901" spans="1:10" ht="12.75">
      <c r="A901" s="42"/>
      <c r="B901" s="82"/>
      <c r="C901" s="60"/>
      <c r="D901" s="48"/>
      <c r="E901" s="48"/>
      <c r="F901" s="69"/>
      <c r="G901" s="48"/>
      <c r="H901" s="49"/>
      <c r="I901" s="48"/>
      <c r="J901" s="49"/>
    </row>
    <row r="902" spans="1:10" ht="12.75">
      <c r="A902" s="42"/>
      <c r="B902" s="80"/>
      <c r="C902" s="86"/>
      <c r="D902" s="48"/>
      <c r="E902" s="48"/>
      <c r="F902" s="49"/>
      <c r="G902" s="48"/>
      <c r="H902" s="49"/>
      <c r="I902" s="48"/>
      <c r="J902" s="49"/>
    </row>
    <row r="903" spans="1:10" ht="12.75">
      <c r="B903" s="80"/>
      <c r="C903" s="60"/>
      <c r="D903" s="48"/>
      <c r="E903" s="48"/>
      <c r="F903" s="69"/>
      <c r="G903" s="48"/>
      <c r="H903" s="49"/>
      <c r="I903" s="48"/>
      <c r="J903" s="49"/>
    </row>
    <row r="904" spans="1:10" ht="12.75">
      <c r="A904" s="42"/>
      <c r="B904" s="80"/>
      <c r="C904" s="86"/>
      <c r="D904" s="48"/>
      <c r="E904" s="48"/>
      <c r="F904" s="49"/>
      <c r="G904" s="48"/>
      <c r="H904" s="49"/>
      <c r="I904" s="48"/>
      <c r="J904" s="49"/>
    </row>
    <row r="905" spans="1:10" ht="12.75">
      <c r="A905" s="42"/>
      <c r="B905" s="80"/>
      <c r="C905" s="60"/>
      <c r="D905" s="48"/>
      <c r="E905" s="48"/>
      <c r="F905" s="69"/>
      <c r="G905" s="48"/>
      <c r="H905" s="49"/>
      <c r="I905" s="48"/>
      <c r="J905" s="49"/>
    </row>
    <row r="906" spans="1:10" ht="12.75">
      <c r="A906" s="42"/>
      <c r="B906" s="80"/>
      <c r="C906" s="86"/>
      <c r="D906" s="48"/>
      <c r="E906" s="48"/>
      <c r="F906" s="49"/>
      <c r="G906" s="48"/>
      <c r="H906" s="49"/>
      <c r="I906" s="48"/>
      <c r="J906" s="49"/>
    </row>
    <row r="907" spans="1:10" ht="12.75">
      <c r="A907" s="42"/>
      <c r="B907" s="80"/>
      <c r="C907" s="86"/>
      <c r="D907" s="48"/>
      <c r="E907" s="48"/>
      <c r="F907" s="49"/>
      <c r="G907" s="48"/>
      <c r="H907" s="49"/>
      <c r="I907" s="48"/>
      <c r="J907" s="49"/>
    </row>
    <row r="908" spans="1:10" ht="12.75">
      <c r="A908" s="42"/>
      <c r="B908" s="80"/>
      <c r="C908" s="86"/>
      <c r="D908" s="48"/>
      <c r="E908" s="48"/>
      <c r="F908" s="49"/>
      <c r="G908" s="48"/>
      <c r="H908" s="49"/>
      <c r="I908" s="48"/>
      <c r="J908" s="49"/>
    </row>
    <row r="909" spans="1:10" ht="12.75">
      <c r="A909" s="42"/>
      <c r="B909" s="80"/>
      <c r="C909" s="86"/>
      <c r="D909" s="48"/>
      <c r="E909" s="48"/>
      <c r="F909" s="49"/>
      <c r="G909" s="48"/>
      <c r="H909" s="49"/>
      <c r="I909" s="48"/>
      <c r="J909" s="49"/>
    </row>
    <row r="910" spans="1:10" ht="12.75">
      <c r="A910" s="42"/>
      <c r="B910" s="80"/>
      <c r="C910" s="86"/>
      <c r="D910" s="48"/>
      <c r="E910" s="48"/>
      <c r="F910" s="49"/>
      <c r="G910" s="48"/>
      <c r="H910" s="49"/>
      <c r="I910" s="48"/>
      <c r="J910" s="49"/>
    </row>
    <row r="911" spans="1:10" ht="12.75">
      <c r="A911" s="42"/>
      <c r="B911" s="80"/>
      <c r="C911" s="86"/>
      <c r="D911" s="48"/>
      <c r="E911" s="48"/>
      <c r="F911" s="49"/>
      <c r="G911" s="48"/>
      <c r="H911" s="49"/>
      <c r="I911" s="48"/>
      <c r="J911" s="49"/>
    </row>
    <row r="912" spans="1:10" ht="12.75">
      <c r="A912" s="42"/>
      <c r="B912" s="80"/>
      <c r="C912" s="86"/>
      <c r="D912" s="48"/>
      <c r="E912" s="48"/>
      <c r="F912" s="49"/>
      <c r="G912" s="48"/>
      <c r="H912" s="49"/>
      <c r="I912" s="48"/>
      <c r="J912" s="49"/>
    </row>
    <row r="913" spans="1:10" ht="12.75">
      <c r="A913" s="42"/>
      <c r="B913" s="80"/>
      <c r="C913" s="86"/>
      <c r="D913" s="48"/>
      <c r="E913" s="48"/>
      <c r="F913" s="49"/>
      <c r="G913" s="48"/>
      <c r="H913" s="49"/>
      <c r="I913" s="48"/>
      <c r="J913" s="49"/>
    </row>
    <row r="914" spans="1:10" ht="12.75">
      <c r="A914" s="42"/>
      <c r="B914" s="80"/>
      <c r="C914" s="86"/>
      <c r="D914" s="48"/>
      <c r="E914" s="48"/>
      <c r="F914" s="49"/>
      <c r="G914" s="48"/>
      <c r="H914" s="49"/>
      <c r="I914" s="48"/>
      <c r="J914" s="49"/>
    </row>
    <row r="915" spans="1:10" ht="12.75">
      <c r="A915" s="42"/>
      <c r="B915" s="80"/>
      <c r="C915" s="86"/>
      <c r="D915" s="48"/>
      <c r="E915" s="48"/>
      <c r="F915" s="49"/>
      <c r="G915" s="48"/>
      <c r="H915" s="49"/>
      <c r="I915" s="48"/>
      <c r="J915" s="49"/>
    </row>
    <row r="916" spans="1:10" ht="12.75">
      <c r="A916" s="42"/>
      <c r="B916" s="80"/>
      <c r="C916" s="86"/>
      <c r="D916" s="48"/>
      <c r="E916" s="48"/>
      <c r="F916" s="49"/>
      <c r="G916" s="48"/>
      <c r="H916" s="49"/>
      <c r="I916" s="48"/>
      <c r="J916" s="49"/>
    </row>
    <row r="917" spans="1:10" ht="12.75">
      <c r="A917" s="42"/>
      <c r="B917" s="80"/>
      <c r="C917" s="86"/>
      <c r="D917" s="48"/>
      <c r="E917" s="48"/>
      <c r="F917" s="49"/>
      <c r="G917" s="48"/>
      <c r="H917" s="49"/>
      <c r="I917" s="48"/>
      <c r="J917" s="49"/>
    </row>
    <row r="918" spans="1:10" ht="12.75">
      <c r="A918" s="42"/>
      <c r="B918" s="80"/>
      <c r="C918" s="86"/>
      <c r="D918" s="48"/>
      <c r="E918" s="48"/>
      <c r="F918" s="49"/>
      <c r="G918" s="48"/>
      <c r="H918" s="49"/>
      <c r="I918" s="48"/>
      <c r="J918" s="49"/>
    </row>
    <row r="919" spans="1:10" ht="12.75">
      <c r="A919" s="42"/>
      <c r="B919" s="80"/>
      <c r="C919" s="86"/>
      <c r="D919" s="48"/>
      <c r="E919" s="48"/>
      <c r="F919" s="49"/>
      <c r="G919" s="48"/>
      <c r="H919" s="49"/>
      <c r="I919" s="48"/>
      <c r="J919" s="49"/>
    </row>
    <row r="920" spans="1:10" ht="12.75">
      <c r="A920" s="42"/>
      <c r="B920" s="80"/>
      <c r="C920" s="86"/>
      <c r="D920" s="48"/>
      <c r="E920" s="48"/>
      <c r="F920" s="49"/>
      <c r="G920" s="48"/>
      <c r="H920" s="49"/>
      <c r="I920" s="48"/>
      <c r="J920" s="49"/>
    </row>
    <row r="921" spans="1:10" ht="12.75">
      <c r="A921" s="42" t="s">
        <v>207</v>
      </c>
      <c r="B921" s="80"/>
      <c r="C921" s="86"/>
      <c r="D921" s="48"/>
      <c r="E921" s="48"/>
      <c r="F921" s="49"/>
      <c r="G921" s="48"/>
      <c r="H921" s="49">
        <f>SUM(H895:H920)</f>
        <v>0</v>
      </c>
      <c r="I921" s="48"/>
      <c r="J921" s="49">
        <f>SUM(J895:J920)</f>
        <v>1976</v>
      </c>
    </row>
    <row r="922" spans="1:10" ht="12.75">
      <c r="A922" s="43"/>
      <c r="B922" s="80"/>
      <c r="C922" s="86"/>
      <c r="D922" s="48"/>
      <c r="E922" s="48"/>
      <c r="F922" s="49"/>
      <c r="G922" s="48"/>
      <c r="H922" s="49"/>
      <c r="I922" s="48"/>
      <c r="J922" s="49"/>
    </row>
    <row r="923" spans="1:10" ht="12.75">
      <c r="A923" s="43"/>
      <c r="B923" s="84"/>
      <c r="C923" s="88"/>
      <c r="D923" s="54"/>
      <c r="E923" s="54"/>
      <c r="F923" s="55"/>
      <c r="G923" s="54"/>
      <c r="H923" s="55"/>
      <c r="I923" s="54"/>
      <c r="J923" s="55"/>
    </row>
    <row r="924" spans="1:10" ht="12.75"/>
    <row r="925" spans="1:10" ht="12.75"/>
    <row r="926" spans="1:10" ht="12.75">
      <c r="A926" s="41" t="s">
        <v>187</v>
      </c>
      <c r="B926" s="41"/>
      <c r="C926" s="41"/>
      <c r="D926" s="41"/>
      <c r="E926" s="41"/>
      <c r="F926" s="41"/>
    </row>
    <row r="927" spans="1:10" ht="12.75">
      <c r="F927" s="68" t="s">
        <v>113</v>
      </c>
    </row>
    <row r="928" spans="1:10" ht="12.75"/>
    <row r="929" spans="1:10" ht="12.75">
      <c r="A929" s="42" t="s">
        <v>188</v>
      </c>
      <c r="B929" s="42" t="s">
        <v>189</v>
      </c>
      <c r="C929" s="42"/>
      <c r="D929" s="42"/>
      <c r="E929" s="42"/>
      <c r="F929" s="42"/>
      <c r="G929" s="43" t="s">
        <v>113</v>
      </c>
      <c r="H929" s="42" t="s">
        <v>175</v>
      </c>
      <c r="I929" s="90" t="s">
        <v>190</v>
      </c>
      <c r="J929" s="43"/>
    </row>
    <row r="930" spans="1:10" ht="12.75">
      <c r="A930" s="42" t="s">
        <v>191</v>
      </c>
      <c r="B930" s="89">
        <v>45979</v>
      </c>
      <c r="C930" s="42"/>
      <c r="D930" s="42"/>
      <c r="E930" s="42"/>
      <c r="F930" s="42"/>
      <c r="G930" s="43"/>
      <c r="H930" s="42" t="s">
        <v>192</v>
      </c>
      <c r="I930" s="91" t="s">
        <v>109</v>
      </c>
      <c r="J930" s="43"/>
    </row>
    <row r="931" spans="1:10" ht="12.75">
      <c r="A931" s="42"/>
      <c r="B931" s="42"/>
      <c r="C931" s="42"/>
      <c r="D931" s="42"/>
      <c r="E931" s="42"/>
      <c r="F931" s="42"/>
      <c r="G931" s="43"/>
      <c r="H931" s="43"/>
      <c r="I931" s="43"/>
      <c r="J931" s="43"/>
    </row>
    <row r="932" spans="1:10" ht="12.75">
      <c r="A932" s="42"/>
      <c r="B932" s="44" t="s">
        <v>193</v>
      </c>
      <c r="C932" s="44" t="s">
        <v>194</v>
      </c>
      <c r="D932" s="44" t="s">
        <v>195</v>
      </c>
      <c r="E932" s="44" t="s">
        <v>196</v>
      </c>
      <c r="F932" s="44" t="s">
        <v>197</v>
      </c>
      <c r="G932" s="44" t="s">
        <v>198</v>
      </c>
      <c r="H932" s="44" t="s">
        <v>199</v>
      </c>
      <c r="I932" s="44" t="s">
        <v>200</v>
      </c>
      <c r="J932" s="44" t="s">
        <v>199</v>
      </c>
    </row>
    <row r="933" spans="1:10" ht="12.75">
      <c r="A933" s="42"/>
      <c r="B933" s="79"/>
      <c r="C933" s="85"/>
      <c r="D933" s="45"/>
      <c r="E933" s="45"/>
      <c r="F933" s="46"/>
      <c r="G933" s="45"/>
      <c r="H933" s="46"/>
      <c r="I933" s="45"/>
      <c r="J933" s="47"/>
    </row>
    <row r="934" spans="1:10" ht="12.75">
      <c r="B934" s="80">
        <v>1</v>
      </c>
      <c r="C934" s="86" t="s">
        <v>201</v>
      </c>
      <c r="D934" s="48" t="s">
        <v>202</v>
      </c>
      <c r="E934" s="48"/>
      <c r="F934" s="69">
        <v>45979</v>
      </c>
      <c r="G934" s="48" t="s">
        <v>125</v>
      </c>
      <c r="H934" s="49">
        <v>172620</v>
      </c>
      <c r="I934" s="48" t="s">
        <v>113</v>
      </c>
      <c r="J934" s="49" t="s">
        <v>113</v>
      </c>
    </row>
    <row r="935" spans="1:10" ht="12.75">
      <c r="A935" s="42"/>
      <c r="B935" s="80"/>
      <c r="C935" s="86"/>
      <c r="D935" s="48"/>
      <c r="E935" s="48"/>
      <c r="F935" s="49"/>
      <c r="G935" s="48"/>
      <c r="H935" s="49"/>
      <c r="I935" s="48"/>
      <c r="J935" s="49"/>
    </row>
    <row r="936" spans="1:10" ht="12.75">
      <c r="B936" s="81"/>
      <c r="C936" s="59"/>
      <c r="D936" s="48"/>
      <c r="E936" s="48"/>
      <c r="F936" s="69"/>
      <c r="G936" s="48"/>
      <c r="H936" s="49"/>
      <c r="I936" s="48"/>
      <c r="J936" s="49"/>
    </row>
    <row r="937" spans="1:10" ht="12.75">
      <c r="B937" s="81"/>
      <c r="C937" s="59"/>
      <c r="D937" s="48"/>
      <c r="E937" s="48"/>
      <c r="F937" s="49"/>
      <c r="G937" s="48"/>
      <c r="H937" s="49"/>
      <c r="I937" s="48"/>
      <c r="J937" s="49"/>
    </row>
    <row r="938" spans="1:10" ht="12.75">
      <c r="A938" s="42"/>
      <c r="B938" s="81"/>
      <c r="C938" s="104"/>
      <c r="D938" s="48"/>
      <c r="E938" s="48"/>
      <c r="F938" s="69"/>
      <c r="G938" s="48"/>
      <c r="H938" s="49"/>
      <c r="I938" s="48"/>
      <c r="J938" s="49"/>
    </row>
    <row r="939" spans="1:10" ht="12.75">
      <c r="A939" s="42"/>
      <c r="B939" s="81"/>
      <c r="C939" s="59"/>
      <c r="D939" s="48"/>
      <c r="E939" s="48"/>
      <c r="F939" s="49"/>
      <c r="G939" s="48"/>
      <c r="H939" s="49"/>
      <c r="I939" s="48"/>
      <c r="J939" s="49"/>
    </row>
    <row r="940" spans="1:10" ht="12.75">
      <c r="A940" s="42"/>
      <c r="B940" s="82"/>
      <c r="C940" s="60"/>
      <c r="D940" s="48"/>
      <c r="E940" s="48"/>
      <c r="F940" s="69"/>
      <c r="G940" s="48"/>
      <c r="H940" s="49"/>
      <c r="I940" s="48"/>
      <c r="J940" s="49"/>
    </row>
    <row r="941" spans="1:10" ht="12.75">
      <c r="B941" s="80"/>
      <c r="C941" s="86"/>
      <c r="D941" s="48"/>
      <c r="E941" s="48"/>
      <c r="F941" s="49"/>
      <c r="G941" s="48"/>
      <c r="H941" s="49"/>
      <c r="I941" s="48"/>
      <c r="J941" s="49"/>
    </row>
    <row r="942" spans="1:10" ht="12.75">
      <c r="A942" s="42"/>
      <c r="B942" s="80"/>
      <c r="C942" s="86"/>
      <c r="D942" s="48"/>
      <c r="E942" s="48"/>
      <c r="F942" s="49"/>
      <c r="G942" s="48"/>
      <c r="H942" s="49"/>
      <c r="I942" s="48"/>
      <c r="J942" s="49"/>
    </row>
    <row r="943" spans="1:10" ht="12.75">
      <c r="A943" s="42"/>
      <c r="B943" s="80"/>
      <c r="C943" s="86"/>
      <c r="D943" s="48"/>
      <c r="E943" s="48"/>
      <c r="F943" s="49"/>
      <c r="G943" s="48"/>
      <c r="H943" s="49"/>
      <c r="I943" s="48"/>
      <c r="J943" s="49"/>
    </row>
    <row r="944" spans="1:10" ht="12.75">
      <c r="A944" s="42"/>
      <c r="B944" s="80"/>
      <c r="C944" s="86"/>
      <c r="D944" s="48"/>
      <c r="E944" s="48"/>
      <c r="F944" s="49"/>
      <c r="G944" s="48"/>
      <c r="H944" s="49"/>
      <c r="I944" s="48"/>
      <c r="J944" s="49"/>
    </row>
    <row r="945" spans="1:11" ht="12.75">
      <c r="A945" s="42"/>
      <c r="B945" s="80"/>
      <c r="C945" s="86"/>
      <c r="D945" s="48"/>
      <c r="E945" s="48"/>
      <c r="F945" s="49"/>
      <c r="G945" s="48"/>
      <c r="H945" s="49"/>
      <c r="I945" s="48"/>
      <c r="J945" s="49"/>
    </row>
    <row r="946" spans="1:11" ht="12.75">
      <c r="A946" s="42"/>
      <c r="B946" s="80"/>
      <c r="C946" s="86"/>
      <c r="D946" s="48"/>
      <c r="E946" s="48"/>
      <c r="F946" s="49"/>
      <c r="G946" s="48"/>
      <c r="H946" s="49"/>
      <c r="I946" s="48"/>
      <c r="J946" s="49"/>
    </row>
    <row r="947" spans="1:11" ht="12.75">
      <c r="A947" s="50"/>
      <c r="B947" s="83"/>
      <c r="C947" s="87"/>
      <c r="D947" s="51"/>
      <c r="E947" s="51"/>
      <c r="F947" s="52"/>
      <c r="G947" s="51"/>
      <c r="H947" s="52"/>
      <c r="I947" s="51"/>
      <c r="J947" s="52"/>
      <c r="K947" s="53"/>
    </row>
    <row r="948" spans="1:11" ht="12.75">
      <c r="A948" s="42"/>
      <c r="B948" s="80"/>
      <c r="C948" s="86"/>
      <c r="D948" s="48"/>
      <c r="E948" s="48"/>
      <c r="F948" s="49"/>
      <c r="G948" s="48"/>
      <c r="H948" s="49"/>
      <c r="I948" s="48"/>
      <c r="J948" s="49"/>
    </row>
    <row r="949" spans="1:11" ht="12.75">
      <c r="A949" s="42"/>
      <c r="B949" s="80"/>
      <c r="C949" s="86"/>
      <c r="D949" s="48"/>
      <c r="E949" s="48"/>
      <c r="F949" s="49"/>
      <c r="G949" s="48"/>
      <c r="H949" s="49"/>
      <c r="I949" s="48"/>
      <c r="J949" s="49"/>
    </row>
    <row r="950" spans="1:11" ht="12.75">
      <c r="A950" s="42"/>
      <c r="B950" s="80"/>
      <c r="C950" s="86"/>
      <c r="D950" s="48"/>
      <c r="E950" s="48"/>
      <c r="F950" s="49"/>
      <c r="G950" s="48"/>
      <c r="H950" s="49"/>
      <c r="I950" s="48"/>
      <c r="J950" s="49"/>
    </row>
    <row r="951" spans="1:11" ht="12.75">
      <c r="A951" s="42"/>
      <c r="B951" s="80"/>
      <c r="C951" s="86"/>
      <c r="D951" s="48"/>
      <c r="E951" s="48"/>
      <c r="F951" s="49"/>
      <c r="G951" s="48"/>
      <c r="H951" s="49"/>
      <c r="I951" s="48"/>
      <c r="J951" s="49"/>
    </row>
    <row r="952" spans="1:11" ht="12.75">
      <c r="A952" s="42"/>
      <c r="B952" s="80"/>
      <c r="C952" s="86"/>
      <c r="D952" s="48"/>
      <c r="E952" s="48"/>
      <c r="F952" s="49"/>
      <c r="G952" s="48"/>
      <c r="H952" s="49"/>
      <c r="I952" s="48"/>
      <c r="J952" s="49"/>
    </row>
    <row r="953" spans="1:11" ht="12.75">
      <c r="A953" s="42"/>
      <c r="B953" s="80"/>
      <c r="C953" s="86"/>
      <c r="D953" s="48"/>
      <c r="E953" s="48"/>
      <c r="F953" s="49"/>
      <c r="G953" s="48"/>
      <c r="H953" s="49"/>
      <c r="I953" s="48"/>
      <c r="J953" s="49"/>
    </row>
    <row r="954" spans="1:11" ht="12.75">
      <c r="A954" s="42"/>
      <c r="B954" s="80"/>
      <c r="C954" s="86"/>
      <c r="D954" s="48"/>
      <c r="E954" s="48"/>
      <c r="F954" s="49"/>
      <c r="G954" s="48"/>
      <c r="H954" s="49"/>
      <c r="I954" s="48"/>
      <c r="J954" s="49"/>
    </row>
    <row r="955" spans="1:11" ht="12.75">
      <c r="A955" s="42"/>
      <c r="B955" s="80"/>
      <c r="C955" s="86"/>
      <c r="D955" s="48"/>
      <c r="E955" s="48"/>
      <c r="F955" s="49"/>
      <c r="G955" s="48"/>
      <c r="H955" s="49"/>
      <c r="I955" s="48"/>
      <c r="J955" s="49"/>
    </row>
    <row r="956" spans="1:11" ht="12.75">
      <c r="A956" s="42"/>
      <c r="B956" s="80"/>
      <c r="C956" s="86"/>
      <c r="D956" s="48"/>
      <c r="E956" s="48"/>
      <c r="F956" s="49"/>
      <c r="G956" s="48"/>
      <c r="H956" s="49"/>
      <c r="I956" s="48"/>
      <c r="J956" s="49"/>
    </row>
    <row r="957" spans="1:11" ht="12.75">
      <c r="A957" s="42"/>
      <c r="B957" s="80"/>
      <c r="C957" s="86"/>
      <c r="D957" s="48"/>
      <c r="E957" s="48"/>
      <c r="F957" s="49"/>
      <c r="G957" s="48"/>
      <c r="H957" s="49"/>
      <c r="I957" s="48"/>
      <c r="J957" s="49"/>
    </row>
    <row r="958" spans="1:11" ht="12.75">
      <c r="A958" s="42"/>
      <c r="B958" s="80"/>
      <c r="C958" s="86"/>
      <c r="D958" s="48"/>
      <c r="E958" s="48"/>
      <c r="F958" s="49"/>
      <c r="G958" s="48"/>
      <c r="H958" s="49"/>
      <c r="I958" s="48"/>
      <c r="J958" s="49"/>
    </row>
    <row r="959" spans="1:11" ht="12.75">
      <c r="A959" s="42"/>
      <c r="B959" s="80"/>
      <c r="C959" s="86"/>
      <c r="D959" s="48"/>
      <c r="E959" s="48"/>
      <c r="F959" s="49"/>
      <c r="G959" s="48"/>
      <c r="H959" s="49"/>
      <c r="I959" s="48"/>
      <c r="J959" s="49"/>
    </row>
    <row r="960" spans="1:11" ht="12.75">
      <c r="A960" s="42"/>
      <c r="B960" s="80"/>
      <c r="C960" s="86"/>
      <c r="D960" s="48"/>
      <c r="E960" s="48"/>
      <c r="F960" s="49"/>
      <c r="G960" s="48"/>
      <c r="H960" s="49"/>
      <c r="I960" s="48"/>
      <c r="J960" s="49"/>
    </row>
    <row r="961" spans="1:10" ht="12.75">
      <c r="A961" s="42"/>
      <c r="B961" s="80"/>
      <c r="C961" s="86"/>
      <c r="D961" s="48"/>
      <c r="E961" s="48"/>
      <c r="F961" s="49"/>
      <c r="G961" s="48"/>
      <c r="H961" s="49"/>
      <c r="I961" s="48"/>
      <c r="J961" s="49"/>
    </row>
    <row r="962" spans="1:10" ht="12.75">
      <c r="A962" s="42"/>
      <c r="B962" s="80"/>
      <c r="C962" s="86"/>
      <c r="D962" s="48"/>
      <c r="E962" s="48"/>
      <c r="F962" s="49"/>
      <c r="G962" s="48"/>
      <c r="H962" s="49"/>
      <c r="I962" s="48"/>
      <c r="J962" s="49"/>
    </row>
    <row r="963" spans="1:10" ht="12.75">
      <c r="A963" s="42" t="s">
        <v>203</v>
      </c>
      <c r="B963" s="80"/>
      <c r="C963" s="86"/>
      <c r="D963" s="48"/>
      <c r="E963" s="48"/>
      <c r="F963" s="49"/>
      <c r="G963" s="48"/>
      <c r="H963" s="49">
        <f>SUM(H934:H962)</f>
        <v>172620</v>
      </c>
      <c r="I963" s="48"/>
      <c r="J963" s="49">
        <f>SUM(J934:J961)</f>
        <v>0</v>
      </c>
    </row>
    <row r="964" spans="1:10" ht="12.75">
      <c r="A964" s="43"/>
      <c r="B964" s="80"/>
      <c r="C964" s="86"/>
      <c r="D964" s="48"/>
      <c r="E964" s="48"/>
      <c r="F964" s="49"/>
      <c r="G964" s="48"/>
      <c r="H964" s="49"/>
      <c r="I964" s="48"/>
      <c r="J964" s="49"/>
    </row>
    <row r="965" spans="1:10" ht="12.75">
      <c r="A965" s="43"/>
      <c r="B965" s="84"/>
      <c r="C965" s="88"/>
      <c r="D965" s="54"/>
      <c r="E965" s="54"/>
      <c r="F965" s="55"/>
      <c r="G965" s="54"/>
      <c r="H965" s="55"/>
      <c r="I965" s="54"/>
      <c r="J965" s="55"/>
    </row>
    <row r="966" spans="1:10" ht="12.75"/>
    <row r="967" spans="1:10" ht="12.75"/>
    <row r="968" spans="1:10" ht="12.75">
      <c r="A968" s="41" t="s">
        <v>204</v>
      </c>
      <c r="B968" s="41"/>
      <c r="C968" s="41"/>
      <c r="D968" s="41"/>
      <c r="E968" s="41"/>
      <c r="F968" s="41"/>
    </row>
    <row r="969" spans="1:10" ht="12.75"/>
    <row r="970" spans="1:10" ht="12.75"/>
    <row r="971" spans="1:10" ht="12.75">
      <c r="A971" s="42" t="s">
        <v>188</v>
      </c>
      <c r="B971" s="42" t="s">
        <v>189</v>
      </c>
      <c r="C971" s="42"/>
      <c r="D971" s="42"/>
      <c r="E971" s="42"/>
      <c r="F971" s="42"/>
      <c r="G971" s="43" t="s">
        <v>113</v>
      </c>
      <c r="H971" s="42" t="s">
        <v>205</v>
      </c>
      <c r="I971" s="42" t="s">
        <v>208</v>
      </c>
      <c r="J971" s="43"/>
    </row>
    <row r="972" spans="1:10" ht="12.75">
      <c r="A972" s="42" t="s">
        <v>191</v>
      </c>
      <c r="B972" s="89">
        <v>45979</v>
      </c>
      <c r="C972" s="42"/>
      <c r="D972" s="42"/>
      <c r="E972" s="42"/>
      <c r="F972" s="42"/>
      <c r="G972" s="43"/>
      <c r="H972" s="42" t="s">
        <v>192</v>
      </c>
      <c r="I972" s="91" t="s">
        <v>137</v>
      </c>
      <c r="J972" s="43"/>
    </row>
    <row r="973" spans="1:10" ht="12.75">
      <c r="A973" s="42"/>
      <c r="B973" s="42"/>
      <c r="C973" s="42"/>
      <c r="D973" s="42"/>
      <c r="E973" s="42"/>
      <c r="F973" s="42"/>
      <c r="G973" s="43"/>
      <c r="H973" s="43"/>
      <c r="I973" s="43"/>
      <c r="J973" s="43"/>
    </row>
    <row r="974" spans="1:10" ht="12.75">
      <c r="A974" s="42"/>
      <c r="B974" s="44" t="s">
        <v>193</v>
      </c>
      <c r="C974" s="44" t="s">
        <v>194</v>
      </c>
      <c r="D974" s="44" t="s">
        <v>195</v>
      </c>
      <c r="E974" s="44" t="s">
        <v>196</v>
      </c>
      <c r="F974" s="44" t="s">
        <v>197</v>
      </c>
      <c r="G974" s="44" t="s">
        <v>198</v>
      </c>
      <c r="H974" s="44" t="s">
        <v>199</v>
      </c>
      <c r="I974" s="44" t="s">
        <v>200</v>
      </c>
      <c r="J974" s="44" t="s">
        <v>199</v>
      </c>
    </row>
    <row r="975" spans="1:10" ht="12.75">
      <c r="A975" s="42"/>
      <c r="B975" s="79"/>
      <c r="C975" s="85"/>
      <c r="D975" s="45"/>
      <c r="E975" s="45"/>
      <c r="F975" s="46"/>
      <c r="G975" s="45"/>
      <c r="H975" s="46"/>
      <c r="I975" s="45"/>
      <c r="J975" s="47"/>
    </row>
    <row r="976" spans="1:10" ht="12.75">
      <c r="B976" s="82">
        <v>1</v>
      </c>
      <c r="C976" s="60" t="s">
        <v>209</v>
      </c>
      <c r="D976" s="48" t="s">
        <v>202</v>
      </c>
      <c r="E976" s="48"/>
      <c r="F976" s="69">
        <v>45979</v>
      </c>
      <c r="G976" s="48" t="s">
        <v>113</v>
      </c>
      <c r="H976" s="49"/>
      <c r="I976" s="48" t="s">
        <v>139</v>
      </c>
      <c r="J976" s="49">
        <v>172620</v>
      </c>
    </row>
    <row r="977" spans="1:10" ht="12.75">
      <c r="B977" s="82"/>
      <c r="C977" s="60"/>
      <c r="D977" s="48"/>
      <c r="E977" s="48"/>
      <c r="F977" s="49"/>
      <c r="G977" s="48"/>
      <c r="H977" s="49"/>
      <c r="I977" s="48"/>
      <c r="J977" s="49"/>
    </row>
    <row r="978" spans="1:10" ht="12.75">
      <c r="A978" s="42"/>
      <c r="B978" s="82"/>
      <c r="C978" s="60"/>
      <c r="D978" s="48"/>
      <c r="E978" s="48"/>
      <c r="F978" s="69"/>
      <c r="G978" s="48"/>
      <c r="H978" s="49"/>
      <c r="I978" s="48"/>
      <c r="J978" s="49"/>
    </row>
    <row r="979" spans="1:10" ht="12.75">
      <c r="A979" s="42"/>
      <c r="B979" s="82"/>
      <c r="C979" s="60"/>
      <c r="D979" s="48"/>
      <c r="E979" s="48"/>
      <c r="F979" s="49"/>
      <c r="G979" s="48"/>
      <c r="H979" s="49"/>
      <c r="I979" s="48"/>
      <c r="J979" s="49"/>
    </row>
    <row r="980" spans="1:10" ht="12.75">
      <c r="B980" s="82"/>
      <c r="C980" s="60"/>
      <c r="D980" s="48"/>
      <c r="E980" s="48"/>
      <c r="F980" s="69"/>
      <c r="G980" s="48"/>
      <c r="H980" s="49"/>
      <c r="I980" s="48"/>
      <c r="J980" s="49"/>
    </row>
    <row r="981" spans="1:10" ht="12.75">
      <c r="B981" s="82"/>
      <c r="C981" s="60"/>
      <c r="D981" s="48"/>
      <c r="E981" s="48"/>
      <c r="F981" s="49"/>
      <c r="G981" s="48"/>
      <c r="H981" s="49"/>
      <c r="I981" s="48"/>
      <c r="J981" s="49"/>
    </row>
    <row r="982" spans="1:10" ht="12.75">
      <c r="A982" s="42"/>
      <c r="B982" s="82"/>
      <c r="C982" s="60"/>
      <c r="D982" s="48"/>
      <c r="E982" s="48"/>
      <c r="F982" s="69"/>
      <c r="G982" s="48"/>
      <c r="H982" s="49"/>
      <c r="I982" s="48"/>
      <c r="J982" s="49"/>
    </row>
    <row r="983" spans="1:10" ht="12.75">
      <c r="A983" s="42"/>
      <c r="B983" s="80"/>
      <c r="C983" s="86"/>
      <c r="D983" s="48"/>
      <c r="E983" s="48"/>
      <c r="F983" s="49"/>
      <c r="G983" s="48"/>
      <c r="H983" s="49"/>
      <c r="I983" s="48"/>
      <c r="J983" s="49"/>
    </row>
    <row r="984" spans="1:10" ht="12.75">
      <c r="B984" s="80"/>
      <c r="C984" s="60"/>
      <c r="D984" s="48"/>
      <c r="E984" s="48"/>
      <c r="F984" s="69"/>
      <c r="G984" s="48"/>
      <c r="H984" s="49"/>
      <c r="I984" s="48"/>
      <c r="J984" s="49"/>
    </row>
    <row r="985" spans="1:10" ht="12.75">
      <c r="A985" s="42"/>
      <c r="B985" s="80"/>
      <c r="C985" s="86"/>
      <c r="D985" s="48"/>
      <c r="E985" s="48"/>
      <c r="F985" s="49"/>
      <c r="G985" s="48"/>
      <c r="H985" s="49"/>
      <c r="I985" s="48"/>
      <c r="J985" s="49"/>
    </row>
    <row r="986" spans="1:10" ht="12.75">
      <c r="A986" s="42"/>
      <c r="B986" s="80"/>
      <c r="C986" s="60"/>
      <c r="D986" s="48"/>
      <c r="E986" s="48"/>
      <c r="F986" s="69"/>
      <c r="G986" s="48"/>
      <c r="H986" s="49"/>
      <c r="I986" s="48"/>
      <c r="J986" s="49"/>
    </row>
    <row r="987" spans="1:10" ht="12.75">
      <c r="A987" s="42"/>
      <c r="B987" s="80"/>
      <c r="C987" s="86"/>
      <c r="D987" s="48"/>
      <c r="E987" s="48"/>
      <c r="F987" s="49"/>
      <c r="G987" s="48"/>
      <c r="H987" s="49"/>
      <c r="I987" s="48"/>
      <c r="J987" s="49"/>
    </row>
    <row r="988" spans="1:10" ht="12.75">
      <c r="A988" s="42"/>
      <c r="B988" s="80"/>
      <c r="C988" s="86"/>
      <c r="D988" s="48"/>
      <c r="E988" s="48"/>
      <c r="F988" s="49"/>
      <c r="G988" s="48"/>
      <c r="H988" s="49"/>
      <c r="I988" s="48"/>
      <c r="J988" s="49"/>
    </row>
    <row r="989" spans="1:10" ht="12.75">
      <c r="A989" s="42"/>
      <c r="B989" s="80"/>
      <c r="C989" s="86"/>
      <c r="D989" s="48"/>
      <c r="E989" s="48"/>
      <c r="F989" s="49"/>
      <c r="G989" s="48"/>
      <c r="H989" s="49"/>
      <c r="I989" s="48"/>
      <c r="J989" s="49"/>
    </row>
    <row r="990" spans="1:10" ht="12.75">
      <c r="A990" s="42"/>
      <c r="B990" s="80"/>
      <c r="C990" s="86"/>
      <c r="D990" s="48"/>
      <c r="E990" s="48"/>
      <c r="F990" s="49"/>
      <c r="G990" s="48"/>
      <c r="H990" s="49"/>
      <c r="I990" s="48"/>
      <c r="J990" s="49"/>
    </row>
    <row r="991" spans="1:10" ht="12.75">
      <c r="A991" s="42"/>
      <c r="B991" s="80"/>
      <c r="C991" s="86"/>
      <c r="D991" s="48"/>
      <c r="E991" s="48"/>
      <c r="F991" s="49"/>
      <c r="G991" s="48"/>
      <c r="H991" s="49"/>
      <c r="I991" s="48"/>
      <c r="J991" s="49"/>
    </row>
    <row r="992" spans="1:10" ht="12.75">
      <c r="A992" s="42"/>
      <c r="B992" s="80"/>
      <c r="C992" s="86"/>
      <c r="D992" s="48"/>
      <c r="E992" s="48"/>
      <c r="F992" s="49"/>
      <c r="G992" s="48"/>
      <c r="H992" s="49"/>
      <c r="I992" s="48"/>
      <c r="J992" s="49"/>
    </row>
    <row r="993" spans="1:10" ht="12.75">
      <c r="A993" s="42"/>
      <c r="B993" s="80"/>
      <c r="C993" s="86"/>
      <c r="D993" s="48"/>
      <c r="E993" s="48"/>
      <c r="F993" s="49"/>
      <c r="G993" s="48"/>
      <c r="H993" s="49"/>
      <c r="I993" s="48"/>
      <c r="J993" s="49"/>
    </row>
    <row r="994" spans="1:10" ht="12.75">
      <c r="A994" s="42"/>
      <c r="B994" s="80"/>
      <c r="C994" s="86"/>
      <c r="D994" s="48"/>
      <c r="E994" s="48"/>
      <c r="F994" s="49"/>
      <c r="G994" s="48"/>
      <c r="H994" s="49"/>
      <c r="I994" s="48"/>
      <c r="J994" s="49"/>
    </row>
    <row r="995" spans="1:10" ht="12.75">
      <c r="A995" s="42"/>
      <c r="B995" s="80"/>
      <c r="C995" s="86"/>
      <c r="D995" s="48"/>
      <c r="E995" s="48"/>
      <c r="F995" s="49"/>
      <c r="G995" s="48"/>
      <c r="H995" s="49"/>
      <c r="I995" s="48"/>
      <c r="J995" s="49"/>
    </row>
    <row r="996" spans="1:10" ht="12.75">
      <c r="A996" s="42"/>
      <c r="B996" s="80"/>
      <c r="C996" s="86"/>
      <c r="D996" s="48"/>
      <c r="E996" s="48"/>
      <c r="F996" s="49"/>
      <c r="G996" s="48"/>
      <c r="H996" s="49"/>
      <c r="I996" s="48"/>
      <c r="J996" s="49"/>
    </row>
    <row r="997" spans="1:10" ht="12.75">
      <c r="A997" s="42"/>
      <c r="B997" s="80"/>
      <c r="C997" s="86"/>
      <c r="D997" s="48"/>
      <c r="E997" s="48"/>
      <c r="F997" s="49"/>
      <c r="G997" s="48"/>
      <c r="H997" s="49"/>
      <c r="I997" s="48"/>
      <c r="J997" s="49"/>
    </row>
    <row r="998" spans="1:10" ht="12.75">
      <c r="A998" s="42"/>
      <c r="B998" s="80"/>
      <c r="C998" s="86"/>
      <c r="D998" s="48"/>
      <c r="E998" s="48"/>
      <c r="F998" s="49"/>
      <c r="G998" s="48"/>
      <c r="H998" s="49"/>
      <c r="I998" s="48"/>
      <c r="J998" s="49"/>
    </row>
    <row r="999" spans="1:10" ht="12.75">
      <c r="A999" s="42"/>
      <c r="B999" s="80"/>
      <c r="C999" s="86"/>
      <c r="D999" s="48"/>
      <c r="E999" s="48"/>
      <c r="F999" s="49"/>
      <c r="G999" s="48"/>
      <c r="H999" s="49"/>
      <c r="I999" s="48"/>
      <c r="J999" s="49"/>
    </row>
    <row r="1000" spans="1:10" ht="12.75">
      <c r="A1000" s="42"/>
      <c r="B1000" s="80"/>
      <c r="C1000" s="86"/>
      <c r="D1000" s="48"/>
      <c r="E1000" s="48"/>
      <c r="F1000" s="49"/>
      <c r="G1000" s="48"/>
      <c r="H1000" s="49"/>
      <c r="I1000" s="48"/>
      <c r="J1000" s="49"/>
    </row>
    <row r="1001" spans="1:10" ht="12.75">
      <c r="A1001" s="42"/>
      <c r="B1001" s="80"/>
      <c r="C1001" s="86"/>
      <c r="D1001" s="48"/>
      <c r="E1001" s="48"/>
      <c r="F1001" s="49"/>
      <c r="G1001" s="48"/>
      <c r="H1001" s="49"/>
      <c r="I1001" s="48"/>
      <c r="J1001" s="49"/>
    </row>
    <row r="1002" spans="1:10" ht="12.75">
      <c r="A1002" s="42" t="s">
        <v>207</v>
      </c>
      <c r="B1002" s="80"/>
      <c r="C1002" s="86"/>
      <c r="D1002" s="48"/>
      <c r="E1002" s="48"/>
      <c r="F1002" s="49"/>
      <c r="G1002" s="48"/>
      <c r="H1002" s="49"/>
      <c r="I1002" s="48"/>
      <c r="J1002" s="49">
        <f>SUM(J976:J1001)</f>
        <v>172620</v>
      </c>
    </row>
    <row r="1003" spans="1:10" ht="12.75">
      <c r="A1003" s="43"/>
      <c r="B1003" s="80"/>
      <c r="C1003" s="86"/>
      <c r="D1003" s="48"/>
      <c r="E1003" s="48"/>
      <c r="F1003" s="49"/>
      <c r="G1003" s="48"/>
      <c r="H1003" s="49"/>
      <c r="I1003" s="48"/>
      <c r="J1003" s="49"/>
    </row>
    <row r="1004" spans="1:10" ht="12.75">
      <c r="A1004" s="43"/>
      <c r="B1004" s="84"/>
      <c r="C1004" s="88"/>
      <c r="D1004" s="54"/>
      <c r="E1004" s="54"/>
      <c r="F1004" s="55"/>
      <c r="G1004" s="54"/>
      <c r="H1004" s="55"/>
      <c r="I1004" s="54"/>
      <c r="J1004" s="55"/>
    </row>
    <row r="1005" spans="1:10" ht="12.75"/>
    <row r="1006" spans="1:10" ht="12.75"/>
    <row r="1007" spans="1:10" ht="12.75">
      <c r="A1007" s="41" t="s">
        <v>204</v>
      </c>
      <c r="B1007" s="41"/>
      <c r="C1007" s="41"/>
      <c r="D1007" s="41"/>
      <c r="E1007" s="41"/>
      <c r="F1007" s="41"/>
    </row>
    <row r="1008" spans="1:10" ht="12.75"/>
    <row r="1009" spans="1:10" ht="12.75"/>
    <row r="1010" spans="1:10" ht="12.75">
      <c r="A1010" s="42" t="s">
        <v>188</v>
      </c>
      <c r="B1010" s="42" t="s">
        <v>189</v>
      </c>
      <c r="C1010" s="42"/>
      <c r="D1010" s="42"/>
      <c r="E1010" s="42"/>
      <c r="F1010" s="42"/>
      <c r="G1010" s="43" t="s">
        <v>113</v>
      </c>
      <c r="H1010" s="42" t="s">
        <v>205</v>
      </c>
      <c r="I1010" s="42" t="s">
        <v>210</v>
      </c>
      <c r="J1010" s="43"/>
    </row>
    <row r="1011" spans="1:10" ht="12.75">
      <c r="A1011" s="42" t="s">
        <v>191</v>
      </c>
      <c r="B1011" s="89">
        <v>45979</v>
      </c>
      <c r="C1011" s="42"/>
      <c r="D1011" s="42"/>
      <c r="E1011" s="42"/>
      <c r="F1011" s="42"/>
      <c r="G1011" s="43"/>
      <c r="H1011" s="42" t="s">
        <v>192</v>
      </c>
      <c r="I1011" s="91" t="s">
        <v>154</v>
      </c>
      <c r="J1011" s="43"/>
    </row>
    <row r="1012" spans="1:10" ht="12.75">
      <c r="A1012" s="42"/>
      <c r="B1012" s="42"/>
      <c r="C1012" s="42"/>
      <c r="D1012" s="42"/>
      <c r="E1012" s="42"/>
      <c r="F1012" s="42"/>
      <c r="G1012" s="43"/>
      <c r="H1012" s="43"/>
      <c r="I1012" s="43"/>
      <c r="J1012" s="43"/>
    </row>
    <row r="1013" spans="1:10" ht="12.75">
      <c r="A1013" s="42"/>
      <c r="B1013" s="44" t="s">
        <v>193</v>
      </c>
      <c r="C1013" s="44" t="s">
        <v>194</v>
      </c>
      <c r="D1013" s="44" t="s">
        <v>195</v>
      </c>
      <c r="E1013" s="44" t="s">
        <v>196</v>
      </c>
      <c r="F1013" s="44" t="s">
        <v>197</v>
      </c>
      <c r="G1013" s="44" t="s">
        <v>198</v>
      </c>
      <c r="H1013" s="44" t="s">
        <v>199</v>
      </c>
      <c r="I1013" s="44" t="s">
        <v>200</v>
      </c>
      <c r="J1013" s="44" t="s">
        <v>199</v>
      </c>
    </row>
    <row r="1014" spans="1:10" ht="12.75">
      <c r="A1014" s="42"/>
      <c r="B1014" s="79"/>
      <c r="C1014" s="85"/>
      <c r="D1014" s="45"/>
      <c r="E1014" s="45"/>
      <c r="F1014" s="46"/>
      <c r="G1014" s="45"/>
      <c r="H1014" s="46"/>
      <c r="I1014" s="45"/>
      <c r="J1014" s="47"/>
    </row>
    <row r="1015" spans="1:10" ht="12.75">
      <c r="B1015" s="82">
        <v>1</v>
      </c>
      <c r="C1015" s="60" t="s">
        <v>209</v>
      </c>
      <c r="D1015" s="48" t="s">
        <v>202</v>
      </c>
      <c r="E1015" s="48"/>
      <c r="F1015" s="69">
        <v>45979</v>
      </c>
      <c r="G1015" s="48" t="s">
        <v>113</v>
      </c>
      <c r="H1015" s="49"/>
      <c r="I1015" s="48" t="s">
        <v>139</v>
      </c>
      <c r="J1015" s="49">
        <v>24660</v>
      </c>
    </row>
    <row r="1016" spans="1:10" ht="12.75">
      <c r="B1016" s="82"/>
      <c r="C1016" s="60"/>
      <c r="D1016" s="48"/>
      <c r="E1016" s="48"/>
      <c r="F1016" s="49"/>
      <c r="G1016" s="48"/>
      <c r="H1016" s="49"/>
      <c r="I1016" s="48"/>
      <c r="J1016" s="49"/>
    </row>
    <row r="1017" spans="1:10" ht="12.75">
      <c r="A1017" s="42"/>
      <c r="B1017" s="82"/>
      <c r="C1017" s="60"/>
      <c r="D1017" s="48"/>
      <c r="E1017" s="48"/>
      <c r="F1017" s="69"/>
      <c r="G1017" s="48"/>
      <c r="H1017" s="49"/>
      <c r="I1017" s="48" t="s">
        <v>113</v>
      </c>
      <c r="J1017" s="49" t="s">
        <v>113</v>
      </c>
    </row>
    <row r="1018" spans="1:10" ht="12.75">
      <c r="A1018" s="42"/>
      <c r="B1018" s="82"/>
      <c r="C1018" s="60"/>
      <c r="D1018" s="48"/>
      <c r="E1018" s="48"/>
      <c r="F1018" s="49"/>
      <c r="G1018" s="48"/>
      <c r="H1018" s="49"/>
      <c r="I1018" s="48"/>
      <c r="J1018" s="49"/>
    </row>
    <row r="1019" spans="1:10" ht="12.75">
      <c r="B1019" s="82"/>
      <c r="C1019" s="60"/>
      <c r="D1019" s="48"/>
      <c r="E1019" s="48"/>
      <c r="F1019" s="69"/>
      <c r="G1019" s="48"/>
      <c r="H1019" s="49"/>
      <c r="I1019" s="48"/>
      <c r="J1019" s="49"/>
    </row>
    <row r="1020" spans="1:10" ht="12.75">
      <c r="B1020" s="82"/>
      <c r="C1020" s="60"/>
      <c r="D1020" s="48"/>
      <c r="E1020" s="48"/>
      <c r="F1020" s="49"/>
      <c r="G1020" s="48"/>
      <c r="H1020" s="49"/>
      <c r="I1020" s="48"/>
      <c r="J1020" s="49"/>
    </row>
    <row r="1021" spans="1:10" ht="12.75">
      <c r="A1021" s="42"/>
      <c r="B1021" s="82"/>
      <c r="C1021" s="60"/>
      <c r="D1021" s="48"/>
      <c r="E1021" s="48"/>
      <c r="F1021" s="69"/>
      <c r="G1021" s="48"/>
      <c r="H1021" s="49"/>
      <c r="I1021" s="48"/>
      <c r="J1021" s="49"/>
    </row>
    <row r="1022" spans="1:10" ht="12.75">
      <c r="A1022" s="42"/>
      <c r="B1022" s="80"/>
      <c r="C1022" s="86"/>
      <c r="D1022" s="48"/>
      <c r="E1022" s="48"/>
      <c r="F1022" s="49"/>
      <c r="G1022" s="48"/>
      <c r="H1022" s="49"/>
      <c r="I1022" s="48"/>
      <c r="J1022" s="49"/>
    </row>
    <row r="1023" spans="1:10" ht="12.75">
      <c r="B1023" s="80"/>
      <c r="C1023" s="60"/>
      <c r="D1023" s="48"/>
      <c r="E1023" s="48"/>
      <c r="F1023" s="69"/>
      <c r="G1023" s="48"/>
      <c r="H1023" s="49"/>
      <c r="I1023" s="48"/>
      <c r="J1023" s="49"/>
    </row>
    <row r="1024" spans="1:10" ht="12.75">
      <c r="A1024" s="42"/>
      <c r="B1024" s="80"/>
      <c r="C1024" s="86"/>
      <c r="D1024" s="48"/>
      <c r="E1024" s="48"/>
      <c r="F1024" s="49"/>
      <c r="G1024" s="48"/>
      <c r="H1024" s="49"/>
      <c r="I1024" s="48"/>
      <c r="J1024" s="49"/>
    </row>
    <row r="1025" spans="1:10" ht="12.75">
      <c r="A1025" s="42"/>
      <c r="B1025" s="80"/>
      <c r="C1025" s="60"/>
      <c r="D1025" s="48"/>
      <c r="E1025" s="48"/>
      <c r="F1025" s="69"/>
      <c r="G1025" s="48"/>
      <c r="H1025" s="49"/>
      <c r="I1025" s="48"/>
      <c r="J1025" s="49"/>
    </row>
    <row r="1026" spans="1:10" ht="12.75">
      <c r="A1026" s="42"/>
      <c r="B1026" s="80"/>
      <c r="C1026" s="86"/>
      <c r="D1026" s="48"/>
      <c r="E1026" s="48"/>
      <c r="F1026" s="49"/>
      <c r="G1026" s="48"/>
      <c r="H1026" s="49"/>
      <c r="I1026" s="48"/>
      <c r="J1026" s="49"/>
    </row>
    <row r="1027" spans="1:10" ht="12.75">
      <c r="A1027" s="42"/>
      <c r="B1027" s="80"/>
      <c r="C1027" s="86"/>
      <c r="D1027" s="48"/>
      <c r="E1027" s="48"/>
      <c r="F1027" s="49"/>
      <c r="G1027" s="48"/>
      <c r="H1027" s="49"/>
      <c r="I1027" s="48"/>
      <c r="J1027" s="49"/>
    </row>
    <row r="1028" spans="1:10" ht="12.75">
      <c r="A1028" s="42"/>
      <c r="B1028" s="80"/>
      <c r="C1028" s="86"/>
      <c r="D1028" s="48"/>
      <c r="E1028" s="48"/>
      <c r="F1028" s="49"/>
      <c r="G1028" s="48"/>
      <c r="H1028" s="49"/>
      <c r="I1028" s="48"/>
      <c r="J1028" s="49"/>
    </row>
    <row r="1029" spans="1:10" ht="12.75">
      <c r="A1029" s="42"/>
      <c r="B1029" s="80"/>
      <c r="C1029" s="86"/>
      <c r="D1029" s="48"/>
      <c r="E1029" s="48"/>
      <c r="F1029" s="49"/>
      <c r="G1029" s="48"/>
      <c r="H1029" s="49"/>
      <c r="I1029" s="48"/>
      <c r="J1029" s="49"/>
    </row>
    <row r="1030" spans="1:10" ht="12.75">
      <c r="A1030" s="42"/>
      <c r="B1030" s="80"/>
      <c r="C1030" s="86"/>
      <c r="D1030" s="48"/>
      <c r="E1030" s="48"/>
      <c r="F1030" s="49"/>
      <c r="G1030" s="48"/>
      <c r="H1030" s="49"/>
      <c r="I1030" s="48"/>
      <c r="J1030" s="49"/>
    </row>
    <row r="1031" spans="1:10" ht="12.75">
      <c r="A1031" s="42"/>
      <c r="B1031" s="80"/>
      <c r="C1031" s="86"/>
      <c r="D1031" s="48"/>
      <c r="E1031" s="48"/>
      <c r="F1031" s="49"/>
      <c r="G1031" s="48"/>
      <c r="H1031" s="49"/>
      <c r="I1031" s="48"/>
      <c r="J1031" s="49"/>
    </row>
    <row r="1032" spans="1:10" ht="12.75">
      <c r="A1032" s="42"/>
      <c r="B1032" s="80"/>
      <c r="C1032" s="86"/>
      <c r="D1032" s="48"/>
      <c r="E1032" s="48"/>
      <c r="F1032" s="49"/>
      <c r="G1032" s="48"/>
      <c r="H1032" s="49"/>
      <c r="I1032" s="48"/>
      <c r="J1032" s="49"/>
    </row>
    <row r="1033" spans="1:10" ht="12.75">
      <c r="A1033" s="42"/>
      <c r="B1033" s="80"/>
      <c r="C1033" s="86"/>
      <c r="D1033" s="48"/>
      <c r="E1033" s="48"/>
      <c r="F1033" s="49"/>
      <c r="G1033" s="48"/>
      <c r="H1033" s="49"/>
      <c r="I1033" s="48"/>
      <c r="J1033" s="49"/>
    </row>
    <row r="1034" spans="1:10" ht="12.75">
      <c r="A1034" s="42"/>
      <c r="B1034" s="80"/>
      <c r="C1034" s="86"/>
      <c r="D1034" s="48"/>
      <c r="E1034" s="48"/>
      <c r="F1034" s="49"/>
      <c r="G1034" s="48"/>
      <c r="H1034" s="49"/>
      <c r="I1034" s="48"/>
      <c r="J1034" s="49"/>
    </row>
    <row r="1035" spans="1:10" ht="12.75">
      <c r="A1035" s="42"/>
      <c r="B1035" s="80"/>
      <c r="C1035" s="86"/>
      <c r="D1035" s="48"/>
      <c r="E1035" s="48"/>
      <c r="F1035" s="49"/>
      <c r="G1035" s="48"/>
      <c r="H1035" s="49"/>
      <c r="I1035" s="48"/>
      <c r="J1035" s="49"/>
    </row>
    <row r="1036" spans="1:10" ht="12.75">
      <c r="A1036" s="42"/>
      <c r="B1036" s="80"/>
      <c r="C1036" s="86"/>
      <c r="D1036" s="48"/>
      <c r="E1036" s="48"/>
      <c r="F1036" s="49"/>
      <c r="G1036" s="48"/>
      <c r="H1036" s="49"/>
      <c r="I1036" s="48"/>
      <c r="J1036" s="49"/>
    </row>
    <row r="1037" spans="1:10" ht="12.75">
      <c r="A1037" s="42"/>
      <c r="B1037" s="80"/>
      <c r="C1037" s="86"/>
      <c r="D1037" s="48"/>
      <c r="E1037" s="48"/>
      <c r="F1037" s="49"/>
      <c r="G1037" s="48"/>
      <c r="H1037" s="49"/>
      <c r="I1037" s="48"/>
      <c r="J1037" s="49"/>
    </row>
    <row r="1038" spans="1:10" ht="12.75">
      <c r="A1038" s="42"/>
      <c r="B1038" s="80"/>
      <c r="C1038" s="86"/>
      <c r="D1038" s="48"/>
      <c r="E1038" s="48"/>
      <c r="F1038" s="49"/>
      <c r="G1038" s="48"/>
      <c r="H1038" s="49"/>
      <c r="I1038" s="48"/>
      <c r="J1038" s="49"/>
    </row>
    <row r="1039" spans="1:10" ht="12.75">
      <c r="A1039" s="42"/>
      <c r="B1039" s="80"/>
      <c r="C1039" s="86"/>
      <c r="D1039" s="48"/>
      <c r="E1039" s="48"/>
      <c r="F1039" s="49"/>
      <c r="G1039" s="48"/>
      <c r="H1039" s="49"/>
      <c r="I1039" s="48"/>
      <c r="J1039" s="49"/>
    </row>
    <row r="1040" spans="1:10" ht="12.75">
      <c r="A1040" s="42"/>
      <c r="B1040" s="80"/>
      <c r="C1040" s="86"/>
      <c r="D1040" s="48"/>
      <c r="E1040" s="48"/>
      <c r="F1040" s="49"/>
      <c r="G1040" s="48"/>
      <c r="H1040" s="49"/>
      <c r="I1040" s="48"/>
      <c r="J1040" s="49"/>
    </row>
    <row r="1041" spans="1:10" ht="12.75">
      <c r="A1041" s="42" t="s">
        <v>207</v>
      </c>
      <c r="B1041" s="80"/>
      <c r="C1041" s="86"/>
      <c r="D1041" s="48"/>
      <c r="E1041" s="48"/>
      <c r="F1041" s="49"/>
      <c r="G1041" s="48"/>
      <c r="H1041" s="49">
        <f>SUM(H1015:H1040)</f>
        <v>0</v>
      </c>
      <c r="I1041" s="48"/>
      <c r="J1041" s="49">
        <f>SUM(J1015:J1040)</f>
        <v>24660</v>
      </c>
    </row>
    <row r="1042" spans="1:10" ht="12.75">
      <c r="A1042" s="43"/>
      <c r="B1042" s="80"/>
      <c r="C1042" s="86"/>
      <c r="D1042" s="48"/>
      <c r="E1042" s="48"/>
      <c r="F1042" s="49"/>
      <c r="G1042" s="48"/>
      <c r="H1042" s="49"/>
      <c r="I1042" s="48"/>
      <c r="J1042" s="49"/>
    </row>
    <row r="1043" spans="1:10" ht="12.75">
      <c r="A1043" s="43"/>
      <c r="B1043" s="84"/>
      <c r="C1043" s="88"/>
      <c r="D1043" s="54"/>
      <c r="E1043" s="54"/>
      <c r="F1043" s="55"/>
      <c r="G1043" s="54"/>
      <c r="H1043" s="55"/>
      <c r="I1043" s="54"/>
      <c r="J1043" s="55"/>
    </row>
    <row r="1044" spans="1:10" ht="12.75"/>
    <row r="1045" spans="1:10" ht="12.75"/>
    <row r="1046" spans="1:10" ht="12.75">
      <c r="A1046" s="41" t="s">
        <v>187</v>
      </c>
      <c r="B1046" s="41"/>
      <c r="C1046" s="41"/>
      <c r="D1046" s="41"/>
      <c r="E1046" s="41"/>
      <c r="F1046" s="41"/>
    </row>
    <row r="1047" spans="1:10" ht="12.75">
      <c r="F1047" s="68" t="s">
        <v>113</v>
      </c>
    </row>
    <row r="1048" spans="1:10" ht="12.75"/>
    <row r="1049" spans="1:10" ht="12.75">
      <c r="A1049" s="42" t="s">
        <v>188</v>
      </c>
      <c r="B1049" s="42" t="s">
        <v>189</v>
      </c>
      <c r="C1049" s="42"/>
      <c r="D1049" s="42"/>
      <c r="E1049" s="42"/>
      <c r="F1049" s="42"/>
      <c r="G1049" s="43" t="s">
        <v>113</v>
      </c>
      <c r="H1049" s="42" t="s">
        <v>175</v>
      </c>
      <c r="I1049" s="90" t="s">
        <v>190</v>
      </c>
      <c r="J1049" s="43"/>
    </row>
    <row r="1050" spans="1:10" ht="12.75">
      <c r="A1050" s="42" t="s">
        <v>191</v>
      </c>
      <c r="B1050" s="89">
        <v>45980</v>
      </c>
      <c r="C1050" s="42"/>
      <c r="D1050" s="42"/>
      <c r="E1050" s="42"/>
      <c r="F1050" s="42"/>
      <c r="G1050" s="43"/>
      <c r="H1050" s="42" t="s">
        <v>192</v>
      </c>
      <c r="I1050" s="91" t="s">
        <v>109</v>
      </c>
      <c r="J1050" s="43"/>
    </row>
    <row r="1051" spans="1:10" ht="12.75">
      <c r="A1051" s="42"/>
      <c r="B1051" s="42"/>
      <c r="C1051" s="42"/>
      <c r="D1051" s="42"/>
      <c r="E1051" s="42"/>
      <c r="F1051" s="42"/>
      <c r="G1051" s="43"/>
      <c r="H1051" s="43"/>
      <c r="I1051" s="43"/>
      <c r="J1051" s="43"/>
    </row>
    <row r="1052" spans="1:10" ht="12.75">
      <c r="A1052" s="42"/>
      <c r="B1052" s="44" t="s">
        <v>193</v>
      </c>
      <c r="C1052" s="44" t="s">
        <v>194</v>
      </c>
      <c r="D1052" s="44" t="s">
        <v>195</v>
      </c>
      <c r="E1052" s="44" t="s">
        <v>196</v>
      </c>
      <c r="F1052" s="44" t="s">
        <v>197</v>
      </c>
      <c r="G1052" s="44" t="s">
        <v>198</v>
      </c>
      <c r="H1052" s="44" t="s">
        <v>199</v>
      </c>
      <c r="I1052" s="44" t="s">
        <v>200</v>
      </c>
      <c r="J1052" s="44" t="s">
        <v>199</v>
      </c>
    </row>
    <row r="1053" spans="1:10" ht="12.75">
      <c r="A1053" s="42"/>
      <c r="B1053" s="79"/>
      <c r="C1053" s="85"/>
      <c r="D1053" s="45"/>
      <c r="E1053" s="45"/>
      <c r="F1053" s="46"/>
      <c r="G1053" s="45"/>
      <c r="H1053" s="46"/>
      <c r="I1053" s="45"/>
      <c r="J1053" s="47"/>
    </row>
    <row r="1054" spans="1:10" ht="12.75">
      <c r="B1054" s="80">
        <v>1</v>
      </c>
      <c r="C1054" s="86" t="s">
        <v>201</v>
      </c>
      <c r="D1054" s="48" t="s">
        <v>202</v>
      </c>
      <c r="E1054" s="48"/>
      <c r="F1054" s="69">
        <v>45980</v>
      </c>
      <c r="G1054" s="48" t="s">
        <v>125</v>
      </c>
      <c r="H1054" s="49">
        <v>525560</v>
      </c>
      <c r="I1054" s="48" t="s">
        <v>113</v>
      </c>
      <c r="J1054" s="49" t="s">
        <v>113</v>
      </c>
    </row>
    <row r="1055" spans="1:10" ht="12.75">
      <c r="A1055" s="42"/>
      <c r="B1055" s="80"/>
      <c r="C1055" s="86"/>
      <c r="D1055" s="48"/>
      <c r="E1055" s="48"/>
      <c r="F1055" s="49"/>
      <c r="G1055" s="48"/>
      <c r="H1055" s="49"/>
      <c r="I1055" s="48"/>
      <c r="J1055" s="49"/>
    </row>
    <row r="1056" spans="1:10" ht="12.75">
      <c r="B1056" s="81"/>
      <c r="C1056" s="59"/>
      <c r="D1056" s="48"/>
      <c r="E1056" s="48"/>
      <c r="F1056" s="69"/>
      <c r="G1056" s="48"/>
      <c r="H1056" s="49"/>
      <c r="I1056" s="48"/>
      <c r="J1056" s="49"/>
    </row>
    <row r="1057" spans="1:11" ht="12.75">
      <c r="B1057" s="81"/>
      <c r="C1057" s="59"/>
      <c r="D1057" s="48"/>
      <c r="E1057" s="48"/>
      <c r="F1057" s="49"/>
      <c r="G1057" s="48"/>
      <c r="H1057" s="49"/>
      <c r="I1057" s="48"/>
      <c r="J1057" s="49"/>
    </row>
    <row r="1058" spans="1:11" ht="12.75">
      <c r="A1058" s="42"/>
      <c r="B1058" s="81"/>
      <c r="C1058" s="104"/>
      <c r="D1058" s="48"/>
      <c r="E1058" s="48"/>
      <c r="F1058" s="69"/>
      <c r="G1058" s="48"/>
      <c r="H1058" s="49"/>
      <c r="I1058" s="48"/>
      <c r="J1058" s="49"/>
    </row>
    <row r="1059" spans="1:11" ht="12.75">
      <c r="A1059" s="42"/>
      <c r="B1059" s="81"/>
      <c r="C1059" s="59"/>
      <c r="D1059" s="48"/>
      <c r="E1059" s="48"/>
      <c r="F1059" s="49"/>
      <c r="G1059" s="48"/>
      <c r="H1059" s="49"/>
      <c r="I1059" s="48"/>
      <c r="J1059" s="49"/>
    </row>
    <row r="1060" spans="1:11" ht="12.75">
      <c r="A1060" s="42"/>
      <c r="B1060" s="82"/>
      <c r="C1060" s="60"/>
      <c r="D1060" s="48"/>
      <c r="E1060" s="48"/>
      <c r="F1060" s="69"/>
      <c r="G1060" s="48"/>
      <c r="H1060" s="49"/>
      <c r="I1060" s="48"/>
      <c r="J1060" s="49"/>
    </row>
    <row r="1061" spans="1:11" ht="12.75">
      <c r="B1061" s="80"/>
      <c r="C1061" s="86"/>
      <c r="D1061" s="48"/>
      <c r="E1061" s="48"/>
      <c r="F1061" s="49"/>
      <c r="G1061" s="48"/>
      <c r="H1061" s="49"/>
      <c r="I1061" s="48"/>
      <c r="J1061" s="49"/>
    </row>
    <row r="1062" spans="1:11" ht="12.75">
      <c r="A1062" s="42"/>
      <c r="B1062" s="80"/>
      <c r="C1062" s="86"/>
      <c r="D1062" s="48"/>
      <c r="E1062" s="48"/>
      <c r="F1062" s="49"/>
      <c r="G1062" s="48"/>
      <c r="H1062" s="49"/>
      <c r="I1062" s="48"/>
      <c r="J1062" s="49"/>
    </row>
    <row r="1063" spans="1:11" ht="12.75">
      <c r="A1063" s="42"/>
      <c r="B1063" s="80"/>
      <c r="C1063" s="86"/>
      <c r="D1063" s="48"/>
      <c r="E1063" s="48"/>
      <c r="F1063" s="49"/>
      <c r="G1063" s="48"/>
      <c r="H1063" s="49"/>
      <c r="I1063" s="48"/>
      <c r="J1063" s="49"/>
    </row>
    <row r="1064" spans="1:11" ht="12.75">
      <c r="A1064" s="42"/>
      <c r="B1064" s="80"/>
      <c r="C1064" s="86"/>
      <c r="D1064" s="48"/>
      <c r="E1064" s="48"/>
      <c r="F1064" s="49"/>
      <c r="G1064" s="48"/>
      <c r="H1064" s="49"/>
      <c r="I1064" s="48"/>
      <c r="J1064" s="49"/>
    </row>
    <row r="1065" spans="1:11" ht="12.75">
      <c r="A1065" s="42"/>
      <c r="B1065" s="80"/>
      <c r="C1065" s="86"/>
      <c r="D1065" s="48"/>
      <c r="E1065" s="48"/>
      <c r="F1065" s="49"/>
      <c r="G1065" s="48"/>
      <c r="H1065" s="49"/>
      <c r="I1065" s="48"/>
      <c r="J1065" s="49"/>
    </row>
    <row r="1066" spans="1:11" ht="12.75">
      <c r="A1066" s="42"/>
      <c r="B1066" s="80"/>
      <c r="C1066" s="86"/>
      <c r="D1066" s="48"/>
      <c r="E1066" s="48"/>
      <c r="F1066" s="49"/>
      <c r="G1066" s="48"/>
      <c r="H1066" s="49"/>
      <c r="I1066" s="48"/>
      <c r="J1066" s="49"/>
    </row>
    <row r="1067" spans="1:11" ht="12.75">
      <c r="A1067" s="50"/>
      <c r="B1067" s="83"/>
      <c r="C1067" s="87"/>
      <c r="D1067" s="51"/>
      <c r="E1067" s="51"/>
      <c r="F1067" s="52"/>
      <c r="G1067" s="51"/>
      <c r="H1067" s="52"/>
      <c r="I1067" s="51"/>
      <c r="J1067" s="52"/>
      <c r="K1067" s="53"/>
    </row>
    <row r="1068" spans="1:11" ht="12.75">
      <c r="A1068" s="42"/>
      <c r="B1068" s="80"/>
      <c r="C1068" s="86"/>
      <c r="D1068" s="48"/>
      <c r="E1068" s="48"/>
      <c r="F1068" s="49"/>
      <c r="G1068" s="48"/>
      <c r="H1068" s="49"/>
      <c r="I1068" s="48"/>
      <c r="J1068" s="49"/>
    </row>
    <row r="1069" spans="1:11" ht="12.75">
      <c r="A1069" s="42"/>
      <c r="B1069" s="80"/>
      <c r="C1069" s="86"/>
      <c r="D1069" s="48"/>
      <c r="E1069" s="48"/>
      <c r="F1069" s="49"/>
      <c r="G1069" s="48"/>
      <c r="H1069" s="49"/>
      <c r="I1069" s="48"/>
      <c r="J1069" s="49"/>
    </row>
    <row r="1070" spans="1:11" ht="12.75">
      <c r="A1070" s="42"/>
      <c r="B1070" s="80"/>
      <c r="C1070" s="86"/>
      <c r="D1070" s="48"/>
      <c r="E1070" s="48"/>
      <c r="F1070" s="49"/>
      <c r="G1070" s="48"/>
      <c r="H1070" s="49"/>
      <c r="I1070" s="48"/>
      <c r="J1070" s="49"/>
    </row>
    <row r="1071" spans="1:11" ht="12.75">
      <c r="A1071" s="42"/>
      <c r="B1071" s="80"/>
      <c r="C1071" s="86"/>
      <c r="D1071" s="48"/>
      <c r="E1071" s="48"/>
      <c r="F1071" s="49"/>
      <c r="G1071" s="48"/>
      <c r="H1071" s="49"/>
      <c r="I1071" s="48"/>
      <c r="J1071" s="49"/>
    </row>
    <row r="1072" spans="1:11" ht="12.75">
      <c r="A1072" s="42"/>
      <c r="B1072" s="80"/>
      <c r="C1072" s="86"/>
      <c r="D1072" s="48"/>
      <c r="E1072" s="48"/>
      <c r="F1072" s="49"/>
      <c r="G1072" s="48"/>
      <c r="H1072" s="49"/>
      <c r="I1072" s="48"/>
      <c r="J1072" s="49"/>
    </row>
    <row r="1073" spans="1:10" ht="12.75">
      <c r="A1073" s="42"/>
      <c r="B1073" s="80"/>
      <c r="C1073" s="86"/>
      <c r="D1073" s="48"/>
      <c r="E1073" s="48"/>
      <c r="F1073" s="49"/>
      <c r="G1073" s="48"/>
      <c r="H1073" s="49"/>
      <c r="I1073" s="48"/>
      <c r="J1073" s="49"/>
    </row>
    <row r="1074" spans="1:10" ht="12.75">
      <c r="A1074" s="42"/>
      <c r="B1074" s="80"/>
      <c r="C1074" s="86"/>
      <c r="D1074" s="48"/>
      <c r="E1074" s="48"/>
      <c r="F1074" s="49"/>
      <c r="G1074" s="48"/>
      <c r="H1074" s="49"/>
      <c r="I1074" s="48"/>
      <c r="J1074" s="49"/>
    </row>
    <row r="1075" spans="1:10" ht="12.75">
      <c r="A1075" s="42"/>
      <c r="B1075" s="80"/>
      <c r="C1075" s="86"/>
      <c r="D1075" s="48"/>
      <c r="E1075" s="48"/>
      <c r="F1075" s="49"/>
      <c r="G1075" s="48"/>
      <c r="H1075" s="49"/>
      <c r="I1075" s="48"/>
      <c r="J1075" s="49"/>
    </row>
    <row r="1076" spans="1:10" ht="12.75">
      <c r="A1076" s="42"/>
      <c r="B1076" s="80"/>
      <c r="C1076" s="86"/>
      <c r="D1076" s="48"/>
      <c r="E1076" s="48"/>
      <c r="F1076" s="49"/>
      <c r="G1076" s="48"/>
      <c r="H1076" s="49"/>
      <c r="I1076" s="48"/>
      <c r="J1076" s="49"/>
    </row>
    <row r="1077" spans="1:10" ht="12.75">
      <c r="A1077" s="42"/>
      <c r="B1077" s="80"/>
      <c r="C1077" s="86"/>
      <c r="D1077" s="48"/>
      <c r="E1077" s="48"/>
      <c r="F1077" s="49"/>
      <c r="G1077" s="48"/>
      <c r="H1077" s="49"/>
      <c r="I1077" s="48"/>
      <c r="J1077" s="49"/>
    </row>
    <row r="1078" spans="1:10" ht="12.75">
      <c r="A1078" s="42"/>
      <c r="B1078" s="80"/>
      <c r="C1078" s="86"/>
      <c r="D1078" s="48"/>
      <c r="E1078" s="48"/>
      <c r="F1078" s="49"/>
      <c r="G1078" s="48"/>
      <c r="H1078" s="49"/>
      <c r="I1078" s="48"/>
      <c r="J1078" s="49"/>
    </row>
    <row r="1079" spans="1:10" ht="12.75">
      <c r="A1079" s="42"/>
      <c r="B1079" s="80"/>
      <c r="C1079" s="86"/>
      <c r="D1079" s="48"/>
      <c r="E1079" s="48"/>
      <c r="F1079" s="49"/>
      <c r="G1079" s="48"/>
      <c r="H1079" s="49"/>
      <c r="I1079" s="48"/>
      <c r="J1079" s="49"/>
    </row>
    <row r="1080" spans="1:10" ht="12.75">
      <c r="A1080" s="42"/>
      <c r="B1080" s="80"/>
      <c r="C1080" s="86"/>
      <c r="D1080" s="48"/>
      <c r="E1080" s="48"/>
      <c r="F1080" s="49"/>
      <c r="G1080" s="48"/>
      <c r="H1080" s="49"/>
      <c r="I1080" s="48"/>
      <c r="J1080" s="49"/>
    </row>
    <row r="1081" spans="1:10" ht="12.75">
      <c r="A1081" s="42"/>
      <c r="B1081" s="80"/>
      <c r="C1081" s="86"/>
      <c r="D1081" s="48"/>
      <c r="E1081" s="48"/>
      <c r="F1081" s="49"/>
      <c r="G1081" s="48"/>
      <c r="H1081" s="49"/>
      <c r="I1081" s="48"/>
      <c r="J1081" s="49"/>
    </row>
    <row r="1082" spans="1:10" ht="12.75">
      <c r="A1082" s="42"/>
      <c r="B1082" s="80"/>
      <c r="C1082" s="86"/>
      <c r="D1082" s="48"/>
      <c r="E1082" s="48"/>
      <c r="F1082" s="49"/>
      <c r="G1082" s="48"/>
      <c r="H1082" s="49"/>
      <c r="I1082" s="48"/>
      <c r="J1082" s="49"/>
    </row>
    <row r="1083" spans="1:10" ht="12.75">
      <c r="A1083" s="42" t="s">
        <v>203</v>
      </c>
      <c r="B1083" s="80"/>
      <c r="C1083" s="86"/>
      <c r="D1083" s="48"/>
      <c r="E1083" s="48"/>
      <c r="F1083" s="49"/>
      <c r="G1083" s="48"/>
      <c r="H1083" s="49">
        <f>SUM(H1054:H1082)</f>
        <v>525560</v>
      </c>
      <c r="I1083" s="48"/>
      <c r="J1083" s="49">
        <f>SUM(J1054:J1081)</f>
        <v>0</v>
      </c>
    </row>
    <row r="1084" spans="1:10" ht="12.75">
      <c r="A1084" s="43"/>
      <c r="B1084" s="80"/>
      <c r="C1084" s="86"/>
      <c r="D1084" s="48"/>
      <c r="E1084" s="48"/>
      <c r="F1084" s="49"/>
      <c r="G1084" s="48"/>
      <c r="H1084" s="49"/>
      <c r="I1084" s="48"/>
      <c r="J1084" s="49"/>
    </row>
    <row r="1085" spans="1:10" ht="12.75">
      <c r="A1085" s="43"/>
      <c r="B1085" s="84"/>
      <c r="C1085" s="88"/>
      <c r="D1085" s="54"/>
      <c r="E1085" s="54"/>
      <c r="F1085" s="55"/>
      <c r="G1085" s="54"/>
      <c r="H1085" s="55"/>
      <c r="I1085" s="54"/>
      <c r="J1085" s="55"/>
    </row>
    <row r="1086" spans="1:10" ht="12.75"/>
    <row r="1087" spans="1:10" ht="12.75"/>
    <row r="1088" spans="1:10" ht="12.75">
      <c r="A1088" s="41" t="s">
        <v>204</v>
      </c>
      <c r="B1088" s="41"/>
      <c r="C1088" s="41"/>
      <c r="D1088" s="41"/>
      <c r="E1088" s="41"/>
      <c r="F1088" s="41"/>
    </row>
    <row r="1089" spans="1:10" ht="12.75"/>
    <row r="1090" spans="1:10" ht="12.75"/>
    <row r="1091" spans="1:10" ht="12.75">
      <c r="A1091" s="42" t="s">
        <v>188</v>
      </c>
      <c r="B1091" s="42" t="s">
        <v>189</v>
      </c>
      <c r="C1091" s="42"/>
      <c r="D1091" s="42"/>
      <c r="E1091" s="42"/>
      <c r="F1091" s="42"/>
      <c r="G1091" s="43" t="s">
        <v>113</v>
      </c>
      <c r="H1091" s="42" t="s">
        <v>205</v>
      </c>
      <c r="I1091" s="42" t="s">
        <v>208</v>
      </c>
      <c r="J1091" s="43"/>
    </row>
    <row r="1092" spans="1:10" ht="12.75">
      <c r="A1092" s="42" t="s">
        <v>191</v>
      </c>
      <c r="B1092" s="89">
        <v>45980</v>
      </c>
      <c r="C1092" s="42"/>
      <c r="D1092" s="42"/>
      <c r="E1092" s="42"/>
      <c r="F1092" s="42"/>
      <c r="G1092" s="43"/>
      <c r="H1092" s="42" t="s">
        <v>192</v>
      </c>
      <c r="I1092" s="91" t="s">
        <v>137</v>
      </c>
      <c r="J1092" s="43"/>
    </row>
    <row r="1093" spans="1:10" ht="12.75">
      <c r="A1093" s="42"/>
      <c r="B1093" s="42"/>
      <c r="C1093" s="42"/>
      <c r="D1093" s="42"/>
      <c r="E1093" s="42"/>
      <c r="F1093" s="42"/>
      <c r="G1093" s="43"/>
      <c r="H1093" s="43"/>
      <c r="I1093" s="43"/>
      <c r="J1093" s="43"/>
    </row>
    <row r="1094" spans="1:10" ht="12.75">
      <c r="A1094" s="42"/>
      <c r="B1094" s="44" t="s">
        <v>193</v>
      </c>
      <c r="C1094" s="44" t="s">
        <v>194</v>
      </c>
      <c r="D1094" s="44" t="s">
        <v>195</v>
      </c>
      <c r="E1094" s="44" t="s">
        <v>196</v>
      </c>
      <c r="F1094" s="44" t="s">
        <v>197</v>
      </c>
      <c r="G1094" s="44" t="s">
        <v>198</v>
      </c>
      <c r="H1094" s="44" t="s">
        <v>199</v>
      </c>
      <c r="I1094" s="44" t="s">
        <v>200</v>
      </c>
      <c r="J1094" s="44" t="s">
        <v>199</v>
      </c>
    </row>
    <row r="1095" spans="1:10" ht="12.75">
      <c r="A1095" s="42"/>
      <c r="B1095" s="79"/>
      <c r="C1095" s="85"/>
      <c r="D1095" s="45"/>
      <c r="E1095" s="45"/>
      <c r="F1095" s="46"/>
      <c r="G1095" s="45"/>
      <c r="H1095" s="46"/>
      <c r="I1095" s="45"/>
      <c r="J1095" s="47"/>
    </row>
    <row r="1096" spans="1:10" ht="12.75">
      <c r="B1096" s="82">
        <v>1</v>
      </c>
      <c r="C1096" s="60" t="s">
        <v>209</v>
      </c>
      <c r="D1096" s="48" t="s">
        <v>202</v>
      </c>
      <c r="E1096" s="48"/>
      <c r="F1096" s="69">
        <v>45980</v>
      </c>
      <c r="G1096" s="48" t="s">
        <v>113</v>
      </c>
      <c r="H1096" s="49"/>
      <c r="I1096" s="48" t="s">
        <v>139</v>
      </c>
      <c r="J1096" s="49">
        <v>525560</v>
      </c>
    </row>
    <row r="1097" spans="1:10" ht="12.75">
      <c r="B1097" s="82"/>
      <c r="C1097" s="60"/>
      <c r="D1097" s="48"/>
      <c r="E1097" s="48"/>
      <c r="F1097" s="49"/>
      <c r="G1097" s="48"/>
      <c r="H1097" s="49"/>
      <c r="I1097" s="48"/>
      <c r="J1097" s="49"/>
    </row>
    <row r="1098" spans="1:10" ht="12.75">
      <c r="A1098" s="42"/>
      <c r="B1098" s="82"/>
      <c r="C1098" s="60"/>
      <c r="D1098" s="48"/>
      <c r="E1098" s="48"/>
      <c r="F1098" s="69"/>
      <c r="G1098" s="48"/>
      <c r="H1098" s="49"/>
      <c r="I1098" s="48"/>
      <c r="J1098" s="49"/>
    </row>
    <row r="1099" spans="1:10" ht="12.75">
      <c r="A1099" s="42"/>
      <c r="B1099" s="82"/>
      <c r="C1099" s="60"/>
      <c r="D1099" s="48"/>
      <c r="E1099" s="48"/>
      <c r="F1099" s="49"/>
      <c r="G1099" s="48"/>
      <c r="H1099" s="49"/>
      <c r="I1099" s="48"/>
      <c r="J1099" s="49"/>
    </row>
    <row r="1100" spans="1:10" ht="12.75">
      <c r="B1100" s="82"/>
      <c r="C1100" s="60"/>
      <c r="D1100" s="48"/>
      <c r="E1100" s="48"/>
      <c r="F1100" s="69"/>
      <c r="G1100" s="48"/>
      <c r="H1100" s="49"/>
      <c r="I1100" s="48"/>
      <c r="J1100" s="49"/>
    </row>
    <row r="1101" spans="1:10" ht="12.75">
      <c r="B1101" s="82"/>
      <c r="C1101" s="60"/>
      <c r="D1101" s="48"/>
      <c r="E1101" s="48"/>
      <c r="F1101" s="49"/>
      <c r="G1101" s="48"/>
      <c r="H1101" s="49"/>
      <c r="I1101" s="48"/>
      <c r="J1101" s="49"/>
    </row>
    <row r="1102" spans="1:10" ht="12.75">
      <c r="A1102" s="42"/>
      <c r="B1102" s="82"/>
      <c r="C1102" s="60"/>
      <c r="D1102" s="48"/>
      <c r="E1102" s="48"/>
      <c r="F1102" s="69"/>
      <c r="G1102" s="48"/>
      <c r="H1102" s="49"/>
      <c r="I1102" s="48"/>
      <c r="J1102" s="49"/>
    </row>
    <row r="1103" spans="1:10" ht="12.75">
      <c r="A1103" s="42"/>
      <c r="B1103" s="80"/>
      <c r="C1103" s="86"/>
      <c r="D1103" s="48"/>
      <c r="E1103" s="48"/>
      <c r="F1103" s="49"/>
      <c r="G1103" s="48"/>
      <c r="H1103" s="49"/>
      <c r="I1103" s="48"/>
      <c r="J1103" s="49"/>
    </row>
    <row r="1104" spans="1:10" ht="12.75">
      <c r="B1104" s="80"/>
      <c r="C1104" s="60"/>
      <c r="D1104" s="48"/>
      <c r="E1104" s="48"/>
      <c r="F1104" s="69"/>
      <c r="G1104" s="48"/>
      <c r="H1104" s="49"/>
      <c r="I1104" s="48"/>
      <c r="J1104" s="49"/>
    </row>
    <row r="1105" spans="1:10" ht="12.75">
      <c r="A1105" s="42"/>
      <c r="B1105" s="80"/>
      <c r="C1105" s="86"/>
      <c r="D1105" s="48"/>
      <c r="E1105" s="48"/>
      <c r="F1105" s="49"/>
      <c r="G1105" s="48"/>
      <c r="H1105" s="49"/>
      <c r="I1105" s="48"/>
      <c r="J1105" s="49"/>
    </row>
    <row r="1106" spans="1:10" ht="12.75">
      <c r="A1106" s="42"/>
      <c r="B1106" s="80"/>
      <c r="C1106" s="60"/>
      <c r="D1106" s="48"/>
      <c r="E1106" s="48"/>
      <c r="F1106" s="69"/>
      <c r="G1106" s="48"/>
      <c r="H1106" s="49"/>
      <c r="I1106" s="48"/>
      <c r="J1106" s="49"/>
    </row>
    <row r="1107" spans="1:10" ht="12.75">
      <c r="A1107" s="42"/>
      <c r="B1107" s="80"/>
      <c r="C1107" s="86"/>
      <c r="D1107" s="48"/>
      <c r="E1107" s="48"/>
      <c r="F1107" s="49"/>
      <c r="G1107" s="48"/>
      <c r="H1107" s="49"/>
      <c r="I1107" s="48"/>
      <c r="J1107" s="49"/>
    </row>
    <row r="1108" spans="1:10" ht="12.75">
      <c r="A1108" s="42"/>
      <c r="B1108" s="80"/>
      <c r="C1108" s="86"/>
      <c r="D1108" s="48"/>
      <c r="E1108" s="48"/>
      <c r="F1108" s="49"/>
      <c r="G1108" s="48"/>
      <c r="H1108" s="49"/>
      <c r="I1108" s="48"/>
      <c r="J1108" s="49"/>
    </row>
    <row r="1109" spans="1:10" ht="12.75">
      <c r="A1109" s="42"/>
      <c r="B1109" s="80"/>
      <c r="C1109" s="86"/>
      <c r="D1109" s="48"/>
      <c r="E1109" s="48"/>
      <c r="F1109" s="49"/>
      <c r="G1109" s="48"/>
      <c r="H1109" s="49"/>
      <c r="I1109" s="48"/>
      <c r="J1109" s="49"/>
    </row>
    <row r="1110" spans="1:10" ht="12.75">
      <c r="A1110" s="42"/>
      <c r="B1110" s="80"/>
      <c r="C1110" s="86"/>
      <c r="D1110" s="48"/>
      <c r="E1110" s="48"/>
      <c r="F1110" s="49"/>
      <c r="G1110" s="48"/>
      <c r="H1110" s="49"/>
      <c r="I1110" s="48"/>
      <c r="J1110" s="49"/>
    </row>
    <row r="1111" spans="1:10" ht="12.75">
      <c r="A1111" s="42"/>
      <c r="B1111" s="80"/>
      <c r="C1111" s="86"/>
      <c r="D1111" s="48"/>
      <c r="E1111" s="48"/>
      <c r="F1111" s="49"/>
      <c r="G1111" s="48"/>
      <c r="H1111" s="49"/>
      <c r="I1111" s="48"/>
      <c r="J1111" s="49"/>
    </row>
    <row r="1112" spans="1:10" ht="12.75">
      <c r="A1112" s="42"/>
      <c r="B1112" s="80"/>
      <c r="C1112" s="86"/>
      <c r="D1112" s="48"/>
      <c r="E1112" s="48"/>
      <c r="F1112" s="49"/>
      <c r="G1112" s="48"/>
      <c r="H1112" s="49"/>
      <c r="I1112" s="48"/>
      <c r="J1112" s="49"/>
    </row>
    <row r="1113" spans="1:10" ht="12.75">
      <c r="A1113" s="42"/>
      <c r="B1113" s="80"/>
      <c r="C1113" s="86"/>
      <c r="D1113" s="48"/>
      <c r="E1113" s="48"/>
      <c r="F1113" s="49"/>
      <c r="G1113" s="48"/>
      <c r="H1113" s="49"/>
      <c r="I1113" s="48"/>
      <c r="J1113" s="49"/>
    </row>
    <row r="1114" spans="1:10" ht="12.75">
      <c r="A1114" s="42"/>
      <c r="B1114" s="80"/>
      <c r="C1114" s="86"/>
      <c r="D1114" s="48"/>
      <c r="E1114" s="48"/>
      <c r="F1114" s="49"/>
      <c r="G1114" s="48"/>
      <c r="H1114" s="49"/>
      <c r="I1114" s="48"/>
      <c r="J1114" s="49"/>
    </row>
    <row r="1115" spans="1:10" ht="12.75">
      <c r="A1115" s="42"/>
      <c r="B1115" s="80"/>
      <c r="C1115" s="86"/>
      <c r="D1115" s="48"/>
      <c r="E1115" s="48"/>
      <c r="F1115" s="49"/>
      <c r="G1115" s="48"/>
      <c r="H1115" s="49"/>
      <c r="I1115" s="48"/>
      <c r="J1115" s="49"/>
    </row>
    <row r="1116" spans="1:10" ht="12.75">
      <c r="A1116" s="42"/>
      <c r="B1116" s="80"/>
      <c r="C1116" s="86"/>
      <c r="D1116" s="48"/>
      <c r="E1116" s="48"/>
      <c r="F1116" s="49"/>
      <c r="G1116" s="48"/>
      <c r="H1116" s="49"/>
      <c r="I1116" s="48"/>
      <c r="J1116" s="49"/>
    </row>
    <row r="1117" spans="1:10" ht="12.75">
      <c r="A1117" s="42"/>
      <c r="B1117" s="80"/>
      <c r="C1117" s="86"/>
      <c r="D1117" s="48"/>
      <c r="E1117" s="48"/>
      <c r="F1117" s="49"/>
      <c r="G1117" s="48"/>
      <c r="H1117" s="49"/>
      <c r="I1117" s="48"/>
      <c r="J1117" s="49"/>
    </row>
    <row r="1118" spans="1:10" ht="12.75">
      <c r="A1118" s="42"/>
      <c r="B1118" s="80"/>
      <c r="C1118" s="86"/>
      <c r="D1118" s="48"/>
      <c r="E1118" s="48"/>
      <c r="F1118" s="49"/>
      <c r="G1118" s="48"/>
      <c r="H1118" s="49"/>
      <c r="I1118" s="48"/>
      <c r="J1118" s="49"/>
    </row>
    <row r="1119" spans="1:10" ht="12.75">
      <c r="A1119" s="42"/>
      <c r="B1119" s="80"/>
      <c r="C1119" s="86"/>
      <c r="D1119" s="48"/>
      <c r="E1119" s="48"/>
      <c r="F1119" s="49"/>
      <c r="G1119" s="48"/>
      <c r="H1119" s="49"/>
      <c r="I1119" s="48"/>
      <c r="J1119" s="49"/>
    </row>
    <row r="1120" spans="1:10" ht="12.75">
      <c r="A1120" s="42"/>
      <c r="B1120" s="80"/>
      <c r="C1120" s="86"/>
      <c r="D1120" s="48"/>
      <c r="E1120" s="48"/>
      <c r="F1120" s="49"/>
      <c r="G1120" s="48"/>
      <c r="H1120" s="49"/>
      <c r="I1120" s="48"/>
      <c r="J1120" s="49"/>
    </row>
    <row r="1121" spans="1:10" ht="12.75">
      <c r="A1121" s="42"/>
      <c r="B1121" s="80"/>
      <c r="C1121" s="86"/>
      <c r="D1121" s="48"/>
      <c r="E1121" s="48"/>
      <c r="F1121" s="49"/>
      <c r="G1121" s="48"/>
      <c r="H1121" s="49"/>
      <c r="I1121" s="48"/>
      <c r="J1121" s="49"/>
    </row>
    <row r="1122" spans="1:10" ht="12.75">
      <c r="A1122" s="42" t="s">
        <v>207</v>
      </c>
      <c r="B1122" s="80"/>
      <c r="C1122" s="86"/>
      <c r="D1122" s="48"/>
      <c r="E1122" s="48"/>
      <c r="F1122" s="49"/>
      <c r="G1122" s="48"/>
      <c r="H1122" s="49"/>
      <c r="I1122" s="48"/>
      <c r="J1122" s="49">
        <f>SUM(J1096:J1121)</f>
        <v>525560</v>
      </c>
    </row>
    <row r="1123" spans="1:10" ht="12.75">
      <c r="A1123" s="43"/>
      <c r="B1123" s="80"/>
      <c r="C1123" s="86"/>
      <c r="D1123" s="48"/>
      <c r="E1123" s="48"/>
      <c r="F1123" s="49"/>
      <c r="G1123" s="48"/>
      <c r="H1123" s="49"/>
      <c r="I1123" s="48"/>
      <c r="J1123" s="49"/>
    </row>
    <row r="1124" spans="1:10" ht="12.75">
      <c r="A1124" s="43"/>
      <c r="B1124" s="84"/>
      <c r="C1124" s="88"/>
      <c r="D1124" s="54"/>
      <c r="E1124" s="54"/>
      <c r="F1124" s="55"/>
      <c r="G1124" s="54"/>
      <c r="H1124" s="55"/>
      <c r="I1124" s="54"/>
      <c r="J1124" s="55"/>
    </row>
    <row r="1125" spans="1:10" ht="12.75"/>
    <row r="1126" spans="1:10" ht="12.75"/>
    <row r="1127" spans="1:10" ht="12.75">
      <c r="A1127" s="41" t="s">
        <v>204</v>
      </c>
      <c r="B1127" s="41"/>
      <c r="C1127" s="41"/>
      <c r="D1127" s="41"/>
      <c r="E1127" s="41"/>
      <c r="F1127" s="41"/>
    </row>
    <row r="1128" spans="1:10" ht="12.75"/>
    <row r="1129" spans="1:10" ht="12.75"/>
    <row r="1130" spans="1:10" ht="12.75">
      <c r="A1130" s="42" t="s">
        <v>188</v>
      </c>
      <c r="B1130" s="42" t="s">
        <v>189</v>
      </c>
      <c r="C1130" s="42"/>
      <c r="D1130" s="42"/>
      <c r="E1130" s="42"/>
      <c r="F1130" s="42"/>
      <c r="G1130" s="43" t="s">
        <v>113</v>
      </c>
      <c r="H1130" s="42" t="s">
        <v>205</v>
      </c>
      <c r="I1130" s="42" t="s">
        <v>210</v>
      </c>
      <c r="J1130" s="43"/>
    </row>
    <row r="1131" spans="1:10" ht="12.75">
      <c r="A1131" s="42" t="s">
        <v>191</v>
      </c>
      <c r="B1131" s="89">
        <v>45980</v>
      </c>
      <c r="C1131" s="42"/>
      <c r="D1131" s="42"/>
      <c r="E1131" s="42"/>
      <c r="F1131" s="42"/>
      <c r="G1131" s="43"/>
      <c r="H1131" s="42" t="s">
        <v>192</v>
      </c>
      <c r="I1131" s="91" t="s">
        <v>154</v>
      </c>
      <c r="J1131" s="43"/>
    </row>
    <row r="1132" spans="1:10" ht="12.75">
      <c r="A1132" s="42"/>
      <c r="B1132" s="42"/>
      <c r="C1132" s="42"/>
      <c r="D1132" s="42"/>
      <c r="E1132" s="42"/>
      <c r="F1132" s="42"/>
      <c r="G1132" s="43"/>
      <c r="H1132" s="43"/>
      <c r="I1132" s="43"/>
      <c r="J1132" s="43"/>
    </row>
    <row r="1133" spans="1:10" ht="12.75">
      <c r="A1133" s="42"/>
      <c r="B1133" s="44" t="s">
        <v>193</v>
      </c>
      <c r="C1133" s="44" t="s">
        <v>194</v>
      </c>
      <c r="D1133" s="44" t="s">
        <v>195</v>
      </c>
      <c r="E1133" s="44" t="s">
        <v>196</v>
      </c>
      <c r="F1133" s="44" t="s">
        <v>197</v>
      </c>
      <c r="G1133" s="44" t="s">
        <v>198</v>
      </c>
      <c r="H1133" s="44" t="s">
        <v>199</v>
      </c>
      <c r="I1133" s="44" t="s">
        <v>200</v>
      </c>
      <c r="J1133" s="44" t="s">
        <v>199</v>
      </c>
    </row>
    <row r="1134" spans="1:10" ht="12.75">
      <c r="A1134" s="42"/>
      <c r="B1134" s="79"/>
      <c r="C1134" s="85"/>
      <c r="D1134" s="45"/>
      <c r="E1134" s="45"/>
      <c r="F1134" s="46"/>
      <c r="G1134" s="45"/>
      <c r="H1134" s="46"/>
      <c r="I1134" s="45"/>
      <c r="J1134" s="47"/>
    </row>
    <row r="1135" spans="1:10" ht="12.75">
      <c r="B1135" s="82">
        <v>1</v>
      </c>
      <c r="C1135" s="60" t="s">
        <v>209</v>
      </c>
      <c r="D1135" s="48" t="s">
        <v>202</v>
      </c>
      <c r="E1135" s="48"/>
      <c r="F1135" s="69">
        <v>45980</v>
      </c>
      <c r="G1135" s="48" t="s">
        <v>113</v>
      </c>
      <c r="H1135" s="49"/>
      <c r="I1135" s="48" t="s">
        <v>139</v>
      </c>
      <c r="J1135" s="49">
        <v>75080</v>
      </c>
    </row>
    <row r="1136" spans="1:10" ht="12.75">
      <c r="B1136" s="82"/>
      <c r="C1136" s="60"/>
      <c r="D1136" s="48"/>
      <c r="E1136" s="48"/>
      <c r="F1136" s="49"/>
      <c r="G1136" s="48"/>
      <c r="H1136" s="49"/>
      <c r="I1136" s="48"/>
      <c r="J1136" s="49"/>
    </row>
    <row r="1137" spans="1:10" ht="12.75">
      <c r="A1137" s="42"/>
      <c r="B1137" s="82"/>
      <c r="C1137" s="60"/>
      <c r="D1137" s="48"/>
      <c r="E1137" s="48"/>
      <c r="F1137" s="69"/>
      <c r="G1137" s="48"/>
      <c r="H1137" s="49"/>
      <c r="I1137" s="48" t="s">
        <v>113</v>
      </c>
      <c r="J1137" s="49" t="s">
        <v>113</v>
      </c>
    </row>
    <row r="1138" spans="1:10" ht="12.75">
      <c r="A1138" s="42"/>
      <c r="B1138" s="82"/>
      <c r="C1138" s="60"/>
      <c r="D1138" s="48"/>
      <c r="E1138" s="48"/>
      <c r="F1138" s="49"/>
      <c r="G1138" s="48"/>
      <c r="H1138" s="49"/>
      <c r="I1138" s="48"/>
      <c r="J1138" s="49"/>
    </row>
    <row r="1139" spans="1:10" ht="12.75">
      <c r="B1139" s="82"/>
      <c r="C1139" s="60"/>
      <c r="D1139" s="48"/>
      <c r="E1139" s="48"/>
      <c r="F1139" s="69"/>
      <c r="G1139" s="48"/>
      <c r="H1139" s="49"/>
      <c r="I1139" s="48"/>
      <c r="J1139" s="49"/>
    </row>
    <row r="1140" spans="1:10" ht="12.75">
      <c r="B1140" s="82"/>
      <c r="C1140" s="60"/>
      <c r="D1140" s="48"/>
      <c r="E1140" s="48"/>
      <c r="F1140" s="49"/>
      <c r="G1140" s="48"/>
      <c r="H1140" s="49"/>
      <c r="I1140" s="48"/>
      <c r="J1140" s="49"/>
    </row>
    <row r="1141" spans="1:10" ht="12.75">
      <c r="A1141" s="42"/>
      <c r="B1141" s="82"/>
      <c r="C1141" s="60"/>
      <c r="D1141" s="48"/>
      <c r="E1141" s="48"/>
      <c r="F1141" s="69"/>
      <c r="G1141" s="48"/>
      <c r="H1141" s="49"/>
      <c r="I1141" s="48"/>
      <c r="J1141" s="49"/>
    </row>
    <row r="1142" spans="1:10" ht="12.75">
      <c r="A1142" s="42"/>
      <c r="B1142" s="80"/>
      <c r="C1142" s="86"/>
      <c r="D1142" s="48"/>
      <c r="E1142" s="48"/>
      <c r="F1142" s="49"/>
      <c r="G1142" s="48"/>
      <c r="H1142" s="49"/>
      <c r="I1142" s="48"/>
      <c r="J1142" s="49"/>
    </row>
    <row r="1143" spans="1:10" ht="12.75">
      <c r="B1143" s="80"/>
      <c r="C1143" s="60"/>
      <c r="D1143" s="48"/>
      <c r="E1143" s="48"/>
      <c r="F1143" s="69"/>
      <c r="G1143" s="48"/>
      <c r="H1143" s="49"/>
      <c r="I1143" s="48"/>
      <c r="J1143" s="49"/>
    </row>
    <row r="1144" spans="1:10" ht="12.75">
      <c r="A1144" s="42"/>
      <c r="B1144" s="80"/>
      <c r="C1144" s="86"/>
      <c r="D1144" s="48"/>
      <c r="E1144" s="48"/>
      <c r="F1144" s="49"/>
      <c r="G1144" s="48"/>
      <c r="H1144" s="49"/>
      <c r="I1144" s="48"/>
      <c r="J1144" s="49"/>
    </row>
    <row r="1145" spans="1:10" ht="12.75">
      <c r="A1145" s="42"/>
      <c r="B1145" s="80"/>
      <c r="C1145" s="60"/>
      <c r="D1145" s="48"/>
      <c r="E1145" s="48"/>
      <c r="F1145" s="69"/>
      <c r="G1145" s="48"/>
      <c r="H1145" s="49"/>
      <c r="I1145" s="48"/>
      <c r="J1145" s="49"/>
    </row>
    <row r="1146" spans="1:10" ht="12.75">
      <c r="A1146" s="42"/>
      <c r="B1146" s="80"/>
      <c r="C1146" s="86"/>
      <c r="D1146" s="48"/>
      <c r="E1146" s="48"/>
      <c r="F1146" s="49"/>
      <c r="G1146" s="48"/>
      <c r="H1146" s="49"/>
      <c r="I1146" s="48"/>
      <c r="J1146" s="49"/>
    </row>
    <row r="1147" spans="1:10" ht="12.75">
      <c r="A1147" s="42"/>
      <c r="B1147" s="80"/>
      <c r="C1147" s="86"/>
      <c r="D1147" s="48"/>
      <c r="E1147" s="48"/>
      <c r="F1147" s="49"/>
      <c r="G1147" s="48"/>
      <c r="H1147" s="49"/>
      <c r="I1147" s="48"/>
      <c r="J1147" s="49"/>
    </row>
    <row r="1148" spans="1:10" ht="12.75">
      <c r="A1148" s="42"/>
      <c r="B1148" s="80"/>
      <c r="C1148" s="86"/>
      <c r="D1148" s="48"/>
      <c r="E1148" s="48"/>
      <c r="F1148" s="49"/>
      <c r="G1148" s="48"/>
      <c r="H1148" s="49"/>
      <c r="I1148" s="48"/>
      <c r="J1148" s="49"/>
    </row>
    <row r="1149" spans="1:10" ht="12.75">
      <c r="A1149" s="42"/>
      <c r="B1149" s="80"/>
      <c r="C1149" s="86"/>
      <c r="D1149" s="48"/>
      <c r="E1149" s="48"/>
      <c r="F1149" s="49"/>
      <c r="G1149" s="48"/>
      <c r="H1149" s="49"/>
      <c r="I1149" s="48"/>
      <c r="J1149" s="49"/>
    </row>
    <row r="1150" spans="1:10" ht="12.75">
      <c r="A1150" s="42"/>
      <c r="B1150" s="80"/>
      <c r="C1150" s="86"/>
      <c r="D1150" s="48"/>
      <c r="E1150" s="48"/>
      <c r="F1150" s="49"/>
      <c r="G1150" s="48"/>
      <c r="H1150" s="49"/>
      <c r="I1150" s="48"/>
      <c r="J1150" s="49"/>
    </row>
    <row r="1151" spans="1:10" ht="12.75">
      <c r="A1151" s="42"/>
      <c r="B1151" s="80"/>
      <c r="C1151" s="86"/>
      <c r="D1151" s="48"/>
      <c r="E1151" s="48"/>
      <c r="F1151" s="49"/>
      <c r="G1151" s="48"/>
      <c r="H1151" s="49"/>
      <c r="I1151" s="48"/>
      <c r="J1151" s="49"/>
    </row>
    <row r="1152" spans="1:10" ht="12.75">
      <c r="A1152" s="42"/>
      <c r="B1152" s="80"/>
      <c r="C1152" s="86"/>
      <c r="D1152" s="48"/>
      <c r="E1152" s="48"/>
      <c r="F1152" s="49"/>
      <c r="G1152" s="48"/>
      <c r="H1152" s="49"/>
      <c r="I1152" s="48"/>
      <c r="J1152" s="49"/>
    </row>
    <row r="1153" spans="1:10" ht="12.75">
      <c r="A1153" s="42"/>
      <c r="B1153" s="80"/>
      <c r="C1153" s="86"/>
      <c r="D1153" s="48"/>
      <c r="E1153" s="48"/>
      <c r="F1153" s="49"/>
      <c r="G1153" s="48"/>
      <c r="H1153" s="49"/>
      <c r="I1153" s="48"/>
      <c r="J1153" s="49"/>
    </row>
    <row r="1154" spans="1:10" ht="12.75">
      <c r="A1154" s="42"/>
      <c r="B1154" s="80"/>
      <c r="C1154" s="86"/>
      <c r="D1154" s="48"/>
      <c r="E1154" s="48"/>
      <c r="F1154" s="49"/>
      <c r="G1154" s="48"/>
      <c r="H1154" s="49"/>
      <c r="I1154" s="48"/>
      <c r="J1154" s="49"/>
    </row>
    <row r="1155" spans="1:10" ht="12.75">
      <c r="A1155" s="42"/>
      <c r="B1155" s="80"/>
      <c r="C1155" s="86"/>
      <c r="D1155" s="48"/>
      <c r="E1155" s="48"/>
      <c r="F1155" s="49"/>
      <c r="G1155" s="48"/>
      <c r="H1155" s="49"/>
      <c r="I1155" s="48"/>
      <c r="J1155" s="49"/>
    </row>
    <row r="1156" spans="1:10" ht="12.75">
      <c r="A1156" s="42"/>
      <c r="B1156" s="80"/>
      <c r="C1156" s="86"/>
      <c r="D1156" s="48"/>
      <c r="E1156" s="48"/>
      <c r="F1156" s="49"/>
      <c r="G1156" s="48"/>
      <c r="H1156" s="49"/>
      <c r="I1156" s="48"/>
      <c r="J1156" s="49"/>
    </row>
    <row r="1157" spans="1:10" ht="12.75">
      <c r="A1157" s="42"/>
      <c r="B1157" s="80"/>
      <c r="C1157" s="86"/>
      <c r="D1157" s="48"/>
      <c r="E1157" s="48"/>
      <c r="F1157" s="49"/>
      <c r="G1157" s="48"/>
      <c r="H1157" s="49"/>
      <c r="I1157" s="48"/>
      <c r="J1157" s="49"/>
    </row>
    <row r="1158" spans="1:10" ht="12.75">
      <c r="A1158" s="42"/>
      <c r="B1158" s="80"/>
      <c r="C1158" s="86"/>
      <c r="D1158" s="48"/>
      <c r="E1158" s="48"/>
      <c r="F1158" s="49"/>
      <c r="G1158" s="48"/>
      <c r="H1158" s="49"/>
      <c r="I1158" s="48"/>
      <c r="J1158" s="49"/>
    </row>
    <row r="1159" spans="1:10" ht="12.75">
      <c r="A1159" s="42"/>
      <c r="B1159" s="80"/>
      <c r="C1159" s="86"/>
      <c r="D1159" s="48"/>
      <c r="E1159" s="48"/>
      <c r="F1159" s="49"/>
      <c r="G1159" s="48"/>
      <c r="H1159" s="49"/>
      <c r="I1159" s="48"/>
      <c r="J1159" s="49"/>
    </row>
    <row r="1160" spans="1:10" ht="12.75">
      <c r="A1160" s="42"/>
      <c r="B1160" s="80"/>
      <c r="C1160" s="86"/>
      <c r="D1160" s="48"/>
      <c r="E1160" s="48"/>
      <c r="F1160" s="49"/>
      <c r="G1160" s="48"/>
      <c r="H1160" s="49"/>
      <c r="I1160" s="48"/>
      <c r="J1160" s="49"/>
    </row>
    <row r="1161" spans="1:10" ht="12.75">
      <c r="A1161" s="42" t="s">
        <v>207</v>
      </c>
      <c r="B1161" s="80"/>
      <c r="C1161" s="86"/>
      <c r="D1161" s="48"/>
      <c r="E1161" s="48"/>
      <c r="F1161" s="49"/>
      <c r="G1161" s="48"/>
      <c r="H1161" s="49">
        <f>SUM(H1135:H1160)</f>
        <v>0</v>
      </c>
      <c r="I1161" s="48"/>
      <c r="J1161" s="49">
        <f>SUM(J1135:J1160)</f>
        <v>75080</v>
      </c>
    </row>
    <row r="1162" spans="1:10" ht="12.75">
      <c r="A1162" s="43"/>
      <c r="B1162" s="80"/>
      <c r="C1162" s="86"/>
      <c r="D1162" s="48"/>
      <c r="E1162" s="48"/>
      <c r="F1162" s="49"/>
      <c r="G1162" s="48"/>
      <c r="H1162" s="49"/>
      <c r="I1162" s="48"/>
      <c r="J1162" s="49"/>
    </row>
    <row r="1163" spans="1:10" ht="12.75">
      <c r="A1163" s="43"/>
      <c r="B1163" s="84"/>
      <c r="C1163" s="88"/>
      <c r="D1163" s="54"/>
      <c r="E1163" s="54"/>
      <c r="F1163" s="55"/>
      <c r="G1163" s="54"/>
      <c r="H1163" s="55"/>
      <c r="I1163" s="54"/>
      <c r="J1163" s="55"/>
    </row>
    <row r="1164" spans="1:10" ht="12.75"/>
    <row r="1165" spans="1:10" ht="12.75"/>
    <row r="1166" spans="1:10" ht="12.75">
      <c r="A1166" s="41" t="s">
        <v>187</v>
      </c>
      <c r="B1166" s="41"/>
      <c r="C1166" s="41"/>
      <c r="D1166" s="41"/>
      <c r="E1166" s="41"/>
      <c r="F1166" s="41"/>
    </row>
    <row r="1167" spans="1:10" ht="12.75">
      <c r="F1167" s="68" t="s">
        <v>113</v>
      </c>
    </row>
    <row r="1168" spans="1:10" ht="12.75"/>
    <row r="1169" spans="1:10" ht="12.75">
      <c r="A1169" s="42" t="s">
        <v>188</v>
      </c>
      <c r="B1169" s="42" t="s">
        <v>189</v>
      </c>
      <c r="C1169" s="42"/>
      <c r="D1169" s="42"/>
      <c r="E1169" s="42"/>
      <c r="F1169" s="42"/>
      <c r="G1169" s="43" t="s">
        <v>113</v>
      </c>
      <c r="H1169" s="42" t="s">
        <v>175</v>
      </c>
      <c r="I1169" s="90" t="s">
        <v>190</v>
      </c>
      <c r="J1169" s="43"/>
    </row>
    <row r="1170" spans="1:10" ht="12.75">
      <c r="A1170" s="42" t="s">
        <v>191</v>
      </c>
      <c r="B1170" s="89">
        <v>45981</v>
      </c>
      <c r="C1170" s="42"/>
      <c r="D1170" s="42"/>
      <c r="E1170" s="42"/>
      <c r="F1170" s="42"/>
      <c r="G1170" s="43"/>
      <c r="H1170" s="42" t="s">
        <v>192</v>
      </c>
      <c r="I1170" s="91" t="s">
        <v>109</v>
      </c>
      <c r="J1170" s="43"/>
    </row>
    <row r="1171" spans="1:10" ht="12.75">
      <c r="A1171" s="42"/>
      <c r="B1171" s="42"/>
      <c r="C1171" s="42"/>
      <c r="D1171" s="42"/>
      <c r="E1171" s="42"/>
      <c r="F1171" s="42"/>
      <c r="G1171" s="43"/>
      <c r="H1171" s="43"/>
      <c r="I1171" s="43"/>
      <c r="J1171" s="43"/>
    </row>
    <row r="1172" spans="1:10" ht="12.75">
      <c r="A1172" s="42"/>
      <c r="B1172" s="44" t="s">
        <v>193</v>
      </c>
      <c r="C1172" s="44" t="s">
        <v>194</v>
      </c>
      <c r="D1172" s="44" t="s">
        <v>195</v>
      </c>
      <c r="E1172" s="44" t="s">
        <v>196</v>
      </c>
      <c r="F1172" s="44" t="s">
        <v>197</v>
      </c>
      <c r="G1172" s="44" t="s">
        <v>198</v>
      </c>
      <c r="H1172" s="44" t="s">
        <v>199</v>
      </c>
      <c r="I1172" s="44" t="s">
        <v>200</v>
      </c>
      <c r="J1172" s="44" t="s">
        <v>199</v>
      </c>
    </row>
    <row r="1173" spans="1:10" ht="12.75">
      <c r="A1173" s="42"/>
      <c r="B1173" s="79"/>
      <c r="C1173" s="85"/>
      <c r="D1173" s="45"/>
      <c r="E1173" s="45"/>
      <c r="F1173" s="46"/>
      <c r="G1173" s="45"/>
      <c r="H1173" s="46"/>
      <c r="I1173" s="45"/>
      <c r="J1173" s="47"/>
    </row>
    <row r="1174" spans="1:10" ht="12.75">
      <c r="B1174" s="80">
        <v>1</v>
      </c>
      <c r="C1174" s="86" t="s">
        <v>201</v>
      </c>
      <c r="D1174" s="48" t="s">
        <v>202</v>
      </c>
      <c r="E1174" s="48"/>
      <c r="F1174" s="69">
        <v>45981</v>
      </c>
      <c r="G1174" s="48" t="s">
        <v>125</v>
      </c>
      <c r="H1174" s="49">
        <v>561820</v>
      </c>
      <c r="I1174" s="48" t="s">
        <v>113</v>
      </c>
      <c r="J1174" s="49" t="s">
        <v>113</v>
      </c>
    </row>
    <row r="1175" spans="1:10" ht="12.75">
      <c r="A1175" s="42"/>
      <c r="B1175" s="80"/>
      <c r="C1175" s="86"/>
      <c r="D1175" s="48"/>
      <c r="E1175" s="48"/>
      <c r="F1175" s="49"/>
      <c r="G1175" s="48"/>
      <c r="H1175" s="49"/>
      <c r="I1175" s="48"/>
      <c r="J1175" s="49"/>
    </row>
    <row r="1176" spans="1:10" ht="12.75">
      <c r="B1176" s="81"/>
      <c r="C1176" s="59"/>
      <c r="D1176" s="48"/>
      <c r="E1176" s="48"/>
      <c r="F1176" s="69"/>
      <c r="G1176" s="48"/>
      <c r="H1176" s="49"/>
      <c r="I1176" s="48"/>
      <c r="J1176" s="49"/>
    </row>
    <row r="1177" spans="1:10" ht="12.75">
      <c r="B1177" s="81"/>
      <c r="C1177" s="59"/>
      <c r="D1177" s="48"/>
      <c r="E1177" s="48"/>
      <c r="F1177" s="49"/>
      <c r="G1177" s="48"/>
      <c r="H1177" s="49"/>
      <c r="I1177" s="48"/>
      <c r="J1177" s="49"/>
    </row>
    <row r="1178" spans="1:10" ht="12.75">
      <c r="A1178" s="42"/>
      <c r="B1178" s="81"/>
      <c r="C1178" s="104"/>
      <c r="D1178" s="48"/>
      <c r="E1178" s="48"/>
      <c r="F1178" s="69"/>
      <c r="G1178" s="48"/>
      <c r="H1178" s="49"/>
      <c r="I1178" s="48"/>
      <c r="J1178" s="49"/>
    </row>
    <row r="1179" spans="1:10" ht="12.75">
      <c r="A1179" s="42"/>
      <c r="B1179" s="81"/>
      <c r="C1179" s="59"/>
      <c r="D1179" s="48"/>
      <c r="E1179" s="48"/>
      <c r="F1179" s="49"/>
      <c r="G1179" s="48"/>
      <c r="H1179" s="49"/>
      <c r="I1179" s="48"/>
      <c r="J1179" s="49"/>
    </row>
    <row r="1180" spans="1:10" ht="12.75">
      <c r="A1180" s="42"/>
      <c r="B1180" s="82"/>
      <c r="C1180" s="60"/>
      <c r="D1180" s="48"/>
      <c r="E1180" s="48"/>
      <c r="F1180" s="69"/>
      <c r="G1180" s="48"/>
      <c r="H1180" s="49"/>
      <c r="I1180" s="48"/>
      <c r="J1180" s="49"/>
    </row>
    <row r="1181" spans="1:10" ht="12.75">
      <c r="B1181" s="80"/>
      <c r="C1181" s="86"/>
      <c r="D1181" s="48"/>
      <c r="E1181" s="48"/>
      <c r="F1181" s="49"/>
      <c r="G1181" s="48"/>
      <c r="H1181" s="49"/>
      <c r="I1181" s="48"/>
      <c r="J1181" s="49"/>
    </row>
    <row r="1182" spans="1:10" ht="12.75">
      <c r="A1182" s="42"/>
      <c r="B1182" s="80"/>
      <c r="C1182" s="86"/>
      <c r="D1182" s="48"/>
      <c r="E1182" s="48"/>
      <c r="F1182" s="49"/>
      <c r="G1182" s="48"/>
      <c r="H1182" s="49"/>
      <c r="I1182" s="48"/>
      <c r="J1182" s="49"/>
    </row>
    <row r="1183" spans="1:10" ht="12.75">
      <c r="A1183" s="42"/>
      <c r="B1183" s="80"/>
      <c r="C1183" s="86"/>
      <c r="D1183" s="48"/>
      <c r="E1183" s="48"/>
      <c r="F1183" s="49"/>
      <c r="G1183" s="48"/>
      <c r="H1183" s="49"/>
      <c r="I1183" s="48"/>
      <c r="J1183" s="49"/>
    </row>
    <row r="1184" spans="1:10" ht="12.75">
      <c r="A1184" s="42"/>
      <c r="B1184" s="80"/>
      <c r="C1184" s="86"/>
      <c r="D1184" s="48"/>
      <c r="E1184" s="48"/>
      <c r="F1184" s="49"/>
      <c r="G1184" s="48"/>
      <c r="H1184" s="49"/>
      <c r="I1184" s="48"/>
      <c r="J1184" s="49"/>
    </row>
    <row r="1185" spans="1:11" ht="12.75">
      <c r="A1185" s="42"/>
      <c r="B1185" s="80"/>
      <c r="C1185" s="86"/>
      <c r="D1185" s="48"/>
      <c r="E1185" s="48"/>
      <c r="F1185" s="49"/>
      <c r="G1185" s="48"/>
      <c r="H1185" s="49"/>
      <c r="I1185" s="48"/>
      <c r="J1185" s="49"/>
    </row>
    <row r="1186" spans="1:11" ht="12.75">
      <c r="A1186" s="42"/>
      <c r="B1186" s="80"/>
      <c r="C1186" s="86"/>
      <c r="D1186" s="48"/>
      <c r="E1186" s="48"/>
      <c r="F1186" s="49"/>
      <c r="G1186" s="48"/>
      <c r="H1186" s="49"/>
      <c r="I1186" s="48"/>
      <c r="J1186" s="49"/>
    </row>
    <row r="1187" spans="1:11" ht="12.75">
      <c r="A1187" s="50"/>
      <c r="B1187" s="83"/>
      <c r="C1187" s="87"/>
      <c r="D1187" s="51"/>
      <c r="E1187" s="51"/>
      <c r="F1187" s="52"/>
      <c r="G1187" s="51"/>
      <c r="H1187" s="52"/>
      <c r="I1187" s="51"/>
      <c r="J1187" s="52"/>
      <c r="K1187" s="53"/>
    </row>
    <row r="1188" spans="1:11" ht="12.75">
      <c r="A1188" s="42"/>
      <c r="B1188" s="80"/>
      <c r="C1188" s="86"/>
      <c r="D1188" s="48"/>
      <c r="E1188" s="48"/>
      <c r="F1188" s="49"/>
      <c r="G1188" s="48"/>
      <c r="H1188" s="49"/>
      <c r="I1188" s="48"/>
      <c r="J1188" s="49"/>
    </row>
    <row r="1189" spans="1:11" ht="12.75">
      <c r="A1189" s="42"/>
      <c r="B1189" s="80"/>
      <c r="C1189" s="86"/>
      <c r="D1189" s="48"/>
      <c r="E1189" s="48"/>
      <c r="F1189" s="49"/>
      <c r="G1189" s="48"/>
      <c r="H1189" s="49"/>
      <c r="I1189" s="48"/>
      <c r="J1189" s="49"/>
    </row>
    <row r="1190" spans="1:11" ht="12.75">
      <c r="A1190" s="42"/>
      <c r="B1190" s="80"/>
      <c r="C1190" s="86"/>
      <c r="D1190" s="48"/>
      <c r="E1190" s="48"/>
      <c r="F1190" s="49"/>
      <c r="G1190" s="48"/>
      <c r="H1190" s="49"/>
      <c r="I1190" s="48"/>
      <c r="J1190" s="49"/>
    </row>
    <row r="1191" spans="1:11" ht="12.75">
      <c r="A1191" s="42"/>
      <c r="B1191" s="80"/>
      <c r="C1191" s="86"/>
      <c r="D1191" s="48"/>
      <c r="E1191" s="48"/>
      <c r="F1191" s="49"/>
      <c r="G1191" s="48"/>
      <c r="H1191" s="49"/>
      <c r="I1191" s="48"/>
      <c r="J1191" s="49"/>
    </row>
    <row r="1192" spans="1:11" ht="12.75">
      <c r="A1192" s="42"/>
      <c r="B1192" s="80"/>
      <c r="C1192" s="86"/>
      <c r="D1192" s="48"/>
      <c r="E1192" s="48"/>
      <c r="F1192" s="49"/>
      <c r="G1192" s="48"/>
      <c r="H1192" s="49"/>
      <c r="I1192" s="48"/>
      <c r="J1192" s="49"/>
    </row>
    <row r="1193" spans="1:11" ht="12.75">
      <c r="A1193" s="42"/>
      <c r="B1193" s="80"/>
      <c r="C1193" s="86"/>
      <c r="D1193" s="48"/>
      <c r="E1193" s="48"/>
      <c r="F1193" s="49"/>
      <c r="G1193" s="48"/>
      <c r="H1193" s="49"/>
      <c r="I1193" s="48"/>
      <c r="J1193" s="49"/>
    </row>
    <row r="1194" spans="1:11" ht="12.75">
      <c r="A1194" s="42"/>
      <c r="B1194" s="80"/>
      <c r="C1194" s="86"/>
      <c r="D1194" s="48"/>
      <c r="E1194" s="48"/>
      <c r="F1194" s="49"/>
      <c r="G1194" s="48"/>
      <c r="H1194" s="49"/>
      <c r="I1194" s="48"/>
      <c r="J1194" s="49"/>
    </row>
    <row r="1195" spans="1:11" ht="12.75">
      <c r="A1195" s="42"/>
      <c r="B1195" s="80"/>
      <c r="C1195" s="86"/>
      <c r="D1195" s="48"/>
      <c r="E1195" s="48"/>
      <c r="F1195" s="49"/>
      <c r="G1195" s="48"/>
      <c r="H1195" s="49"/>
      <c r="I1195" s="48"/>
      <c r="J1195" s="49"/>
    </row>
    <row r="1196" spans="1:11" ht="12.75">
      <c r="A1196" s="42"/>
      <c r="B1196" s="80"/>
      <c r="C1196" s="86"/>
      <c r="D1196" s="48"/>
      <c r="E1196" s="48"/>
      <c r="F1196" s="49"/>
      <c r="G1196" s="48"/>
      <c r="H1196" s="49"/>
      <c r="I1196" s="48"/>
      <c r="J1196" s="49"/>
    </row>
    <row r="1197" spans="1:11" ht="12.75">
      <c r="A1197" s="42"/>
      <c r="B1197" s="80"/>
      <c r="C1197" s="86"/>
      <c r="D1197" s="48"/>
      <c r="E1197" s="48"/>
      <c r="F1197" s="49"/>
      <c r="G1197" s="48"/>
      <c r="H1197" s="49"/>
      <c r="I1197" s="48"/>
      <c r="J1197" s="49"/>
    </row>
    <row r="1198" spans="1:11" ht="12.75">
      <c r="A1198" s="42"/>
      <c r="B1198" s="80"/>
      <c r="C1198" s="86"/>
      <c r="D1198" s="48"/>
      <c r="E1198" s="48"/>
      <c r="F1198" s="49"/>
      <c r="G1198" s="48"/>
      <c r="H1198" s="49"/>
      <c r="I1198" s="48"/>
      <c r="J1198" s="49"/>
    </row>
    <row r="1199" spans="1:11" ht="12.75">
      <c r="A1199" s="42"/>
      <c r="B1199" s="80"/>
      <c r="C1199" s="86"/>
      <c r="D1199" s="48"/>
      <c r="E1199" s="48"/>
      <c r="F1199" s="49"/>
      <c r="G1199" s="48"/>
      <c r="H1199" s="49"/>
      <c r="I1199" s="48"/>
      <c r="J1199" s="49"/>
    </row>
    <row r="1200" spans="1:11" ht="12.75">
      <c r="A1200" s="42"/>
      <c r="B1200" s="80"/>
      <c r="C1200" s="86"/>
      <c r="D1200" s="48"/>
      <c r="E1200" s="48"/>
      <c r="F1200" s="49"/>
      <c r="G1200" s="48"/>
      <c r="H1200" s="49"/>
      <c r="I1200" s="48"/>
      <c r="J1200" s="49"/>
    </row>
    <row r="1201" spans="1:10" ht="12.75">
      <c r="A1201" s="42"/>
      <c r="B1201" s="80"/>
      <c r="C1201" s="86"/>
      <c r="D1201" s="48"/>
      <c r="E1201" s="48"/>
      <c r="F1201" s="49"/>
      <c r="G1201" s="48"/>
      <c r="H1201" s="49"/>
      <c r="I1201" s="48"/>
      <c r="J1201" s="49"/>
    </row>
    <row r="1202" spans="1:10" ht="12.75">
      <c r="A1202" s="42"/>
      <c r="B1202" s="80"/>
      <c r="C1202" s="86"/>
      <c r="D1202" s="48"/>
      <c r="E1202" s="48"/>
      <c r="F1202" s="49"/>
      <c r="G1202" s="48"/>
      <c r="H1202" s="49"/>
      <c r="I1202" s="48"/>
      <c r="J1202" s="49"/>
    </row>
    <row r="1203" spans="1:10" ht="12.75">
      <c r="A1203" s="42" t="s">
        <v>203</v>
      </c>
      <c r="B1203" s="80"/>
      <c r="C1203" s="86"/>
      <c r="D1203" s="48"/>
      <c r="E1203" s="48"/>
      <c r="F1203" s="49"/>
      <c r="G1203" s="48"/>
      <c r="H1203" s="49">
        <f>SUM(H1174:H1202)</f>
        <v>561820</v>
      </c>
      <c r="I1203" s="48"/>
      <c r="J1203" s="49">
        <f>SUM(J1174:J1201)</f>
        <v>0</v>
      </c>
    </row>
    <row r="1204" spans="1:10" ht="12.75">
      <c r="A1204" s="43"/>
      <c r="B1204" s="80"/>
      <c r="C1204" s="86"/>
      <c r="D1204" s="48"/>
      <c r="E1204" s="48"/>
      <c r="F1204" s="49"/>
      <c r="G1204" s="48"/>
      <c r="H1204" s="49"/>
      <c r="I1204" s="48"/>
      <c r="J1204" s="49"/>
    </row>
    <row r="1205" spans="1:10" ht="12.75">
      <c r="A1205" s="43"/>
      <c r="B1205" s="84"/>
      <c r="C1205" s="88"/>
      <c r="D1205" s="54"/>
      <c r="E1205" s="54"/>
      <c r="F1205" s="55"/>
      <c r="G1205" s="54"/>
      <c r="H1205" s="55"/>
      <c r="I1205" s="54"/>
      <c r="J1205" s="55"/>
    </row>
    <row r="1206" spans="1:10" ht="12.75"/>
    <row r="1207" spans="1:10" ht="12.75"/>
    <row r="1208" spans="1:10" ht="12.75">
      <c r="A1208" s="41" t="s">
        <v>204</v>
      </c>
      <c r="B1208" s="41"/>
      <c r="C1208" s="41"/>
      <c r="D1208" s="41"/>
      <c r="E1208" s="41"/>
      <c r="F1208" s="41"/>
    </row>
    <row r="1209" spans="1:10" ht="12.75"/>
    <row r="1210" spans="1:10" ht="12.75"/>
    <row r="1211" spans="1:10" ht="12.75">
      <c r="A1211" s="42" t="s">
        <v>188</v>
      </c>
      <c r="B1211" s="42" t="s">
        <v>189</v>
      </c>
      <c r="C1211" s="42"/>
      <c r="D1211" s="42"/>
      <c r="E1211" s="42"/>
      <c r="F1211" s="42"/>
      <c r="G1211" s="43" t="s">
        <v>113</v>
      </c>
      <c r="H1211" s="42" t="s">
        <v>205</v>
      </c>
      <c r="I1211" s="42" t="s">
        <v>208</v>
      </c>
      <c r="J1211" s="43"/>
    </row>
    <row r="1212" spans="1:10" ht="12.75">
      <c r="A1212" s="42" t="s">
        <v>191</v>
      </c>
      <c r="B1212" s="89">
        <v>45981</v>
      </c>
      <c r="C1212" s="42"/>
      <c r="D1212" s="42"/>
      <c r="E1212" s="42"/>
      <c r="F1212" s="42"/>
      <c r="G1212" s="43"/>
      <c r="H1212" s="42" t="s">
        <v>192</v>
      </c>
      <c r="I1212" s="91" t="s">
        <v>137</v>
      </c>
      <c r="J1212" s="43"/>
    </row>
    <row r="1213" spans="1:10" ht="12.75">
      <c r="A1213" s="42"/>
      <c r="B1213" s="42"/>
      <c r="C1213" s="42"/>
      <c r="D1213" s="42"/>
      <c r="E1213" s="42"/>
      <c r="F1213" s="42"/>
      <c r="G1213" s="43"/>
      <c r="H1213" s="43"/>
      <c r="I1213" s="43"/>
      <c r="J1213" s="43"/>
    </row>
    <row r="1214" spans="1:10" ht="12.75">
      <c r="A1214" s="42"/>
      <c r="B1214" s="44" t="s">
        <v>193</v>
      </c>
      <c r="C1214" s="44" t="s">
        <v>194</v>
      </c>
      <c r="D1214" s="44" t="s">
        <v>195</v>
      </c>
      <c r="E1214" s="44" t="s">
        <v>196</v>
      </c>
      <c r="F1214" s="44" t="s">
        <v>197</v>
      </c>
      <c r="G1214" s="44" t="s">
        <v>198</v>
      </c>
      <c r="H1214" s="44" t="s">
        <v>199</v>
      </c>
      <c r="I1214" s="44" t="s">
        <v>200</v>
      </c>
      <c r="J1214" s="44" t="s">
        <v>199</v>
      </c>
    </row>
    <row r="1215" spans="1:10" ht="12.75">
      <c r="A1215" s="42"/>
      <c r="B1215" s="79"/>
      <c r="C1215" s="85"/>
      <c r="D1215" s="45"/>
      <c r="E1215" s="45"/>
      <c r="F1215" s="46"/>
      <c r="G1215" s="45"/>
      <c r="H1215" s="46"/>
      <c r="I1215" s="45"/>
      <c r="J1215" s="47"/>
    </row>
    <row r="1216" spans="1:10" ht="12.75">
      <c r="B1216" s="82">
        <v>1</v>
      </c>
      <c r="C1216" s="60" t="s">
        <v>209</v>
      </c>
      <c r="D1216" s="48" t="s">
        <v>202</v>
      </c>
      <c r="E1216" s="48"/>
      <c r="F1216" s="69">
        <v>45981</v>
      </c>
      <c r="G1216" s="48" t="s">
        <v>113</v>
      </c>
      <c r="H1216" s="49"/>
      <c r="I1216" s="48" t="s">
        <v>139</v>
      </c>
      <c r="J1216" s="49">
        <v>561820</v>
      </c>
    </row>
    <row r="1217" spans="1:10" ht="12.75">
      <c r="B1217" s="82"/>
      <c r="C1217" s="60"/>
      <c r="D1217" s="48"/>
      <c r="E1217" s="48"/>
      <c r="F1217" s="49"/>
      <c r="G1217" s="48"/>
      <c r="H1217" s="49"/>
      <c r="I1217" s="48"/>
      <c r="J1217" s="49"/>
    </row>
    <row r="1218" spans="1:10" ht="12.75">
      <c r="A1218" s="42"/>
      <c r="B1218" s="82"/>
      <c r="C1218" s="60"/>
      <c r="D1218" s="48"/>
      <c r="E1218" s="48"/>
      <c r="F1218" s="69"/>
      <c r="G1218" s="48"/>
      <c r="H1218" s="49"/>
      <c r="I1218" s="48"/>
      <c r="J1218" s="49"/>
    </row>
    <row r="1219" spans="1:10" ht="12.75">
      <c r="A1219" s="42"/>
      <c r="B1219" s="82"/>
      <c r="C1219" s="60"/>
      <c r="D1219" s="48"/>
      <c r="E1219" s="48"/>
      <c r="F1219" s="49"/>
      <c r="G1219" s="48"/>
      <c r="H1219" s="49"/>
      <c r="I1219" s="48"/>
      <c r="J1219" s="49"/>
    </row>
    <row r="1220" spans="1:10" ht="12.75">
      <c r="B1220" s="82"/>
      <c r="C1220" s="60"/>
      <c r="D1220" s="48"/>
      <c r="E1220" s="48"/>
      <c r="F1220" s="69"/>
      <c r="G1220" s="48"/>
      <c r="H1220" s="49"/>
      <c r="I1220" s="48"/>
      <c r="J1220" s="49"/>
    </row>
    <row r="1221" spans="1:10" ht="12.75">
      <c r="B1221" s="82"/>
      <c r="C1221" s="60"/>
      <c r="D1221" s="48"/>
      <c r="E1221" s="48"/>
      <c r="F1221" s="49"/>
      <c r="G1221" s="48"/>
      <c r="H1221" s="49"/>
      <c r="I1221" s="48"/>
      <c r="J1221" s="49"/>
    </row>
    <row r="1222" spans="1:10" ht="12.75">
      <c r="A1222" s="42"/>
      <c r="B1222" s="82"/>
      <c r="C1222" s="60"/>
      <c r="D1222" s="48"/>
      <c r="E1222" s="48"/>
      <c r="F1222" s="69"/>
      <c r="G1222" s="48"/>
      <c r="H1222" s="49"/>
      <c r="I1222" s="48"/>
      <c r="J1222" s="49"/>
    </row>
    <row r="1223" spans="1:10" ht="12.75">
      <c r="A1223" s="42"/>
      <c r="B1223" s="80"/>
      <c r="C1223" s="86"/>
      <c r="D1223" s="48"/>
      <c r="E1223" s="48"/>
      <c r="F1223" s="49"/>
      <c r="G1223" s="48"/>
      <c r="H1223" s="49"/>
      <c r="I1223" s="48"/>
      <c r="J1223" s="49"/>
    </row>
    <row r="1224" spans="1:10" ht="12.75">
      <c r="B1224" s="80"/>
      <c r="C1224" s="60"/>
      <c r="D1224" s="48"/>
      <c r="E1224" s="48"/>
      <c r="F1224" s="69"/>
      <c r="G1224" s="48"/>
      <c r="H1224" s="49"/>
      <c r="I1224" s="48"/>
      <c r="J1224" s="49"/>
    </row>
    <row r="1225" spans="1:10" ht="12.75">
      <c r="A1225" s="42"/>
      <c r="B1225" s="80"/>
      <c r="C1225" s="86"/>
      <c r="D1225" s="48"/>
      <c r="E1225" s="48"/>
      <c r="F1225" s="49"/>
      <c r="G1225" s="48"/>
      <c r="H1225" s="49"/>
      <c r="I1225" s="48"/>
      <c r="J1225" s="49"/>
    </row>
    <row r="1226" spans="1:10" ht="12.75">
      <c r="A1226" s="42"/>
      <c r="B1226" s="80"/>
      <c r="C1226" s="60"/>
      <c r="D1226" s="48"/>
      <c r="E1226" s="48"/>
      <c r="F1226" s="69"/>
      <c r="G1226" s="48"/>
      <c r="H1226" s="49"/>
      <c r="I1226" s="48"/>
      <c r="J1226" s="49"/>
    </row>
    <row r="1227" spans="1:10" ht="12.75">
      <c r="A1227" s="42"/>
      <c r="B1227" s="80"/>
      <c r="C1227" s="86"/>
      <c r="D1227" s="48"/>
      <c r="E1227" s="48"/>
      <c r="F1227" s="49"/>
      <c r="G1227" s="48"/>
      <c r="H1227" s="49"/>
      <c r="I1227" s="48"/>
      <c r="J1227" s="49"/>
    </row>
    <row r="1228" spans="1:10" ht="12.75">
      <c r="A1228" s="42"/>
      <c r="B1228" s="80"/>
      <c r="C1228" s="86"/>
      <c r="D1228" s="48"/>
      <c r="E1228" s="48"/>
      <c r="F1228" s="49"/>
      <c r="G1228" s="48"/>
      <c r="H1228" s="49"/>
      <c r="I1228" s="48"/>
      <c r="J1228" s="49"/>
    </row>
    <row r="1229" spans="1:10" ht="12.75">
      <c r="A1229" s="42"/>
      <c r="B1229" s="80"/>
      <c r="C1229" s="86"/>
      <c r="D1229" s="48"/>
      <c r="E1229" s="48"/>
      <c r="F1229" s="49"/>
      <c r="G1229" s="48"/>
      <c r="H1229" s="49"/>
      <c r="I1229" s="48"/>
      <c r="J1229" s="49"/>
    </row>
    <row r="1230" spans="1:10" ht="12.75">
      <c r="A1230" s="42"/>
      <c r="B1230" s="80"/>
      <c r="C1230" s="86"/>
      <c r="D1230" s="48"/>
      <c r="E1230" s="48"/>
      <c r="F1230" s="49"/>
      <c r="G1230" s="48"/>
      <c r="H1230" s="49"/>
      <c r="I1230" s="48"/>
      <c r="J1230" s="49"/>
    </row>
    <row r="1231" spans="1:10" ht="12.75">
      <c r="A1231" s="42"/>
      <c r="B1231" s="80"/>
      <c r="C1231" s="86"/>
      <c r="D1231" s="48"/>
      <c r="E1231" s="48"/>
      <c r="F1231" s="49"/>
      <c r="G1231" s="48"/>
      <c r="H1231" s="49"/>
      <c r="I1231" s="48"/>
      <c r="J1231" s="49"/>
    </row>
    <row r="1232" spans="1:10" ht="12.75">
      <c r="A1232" s="42"/>
      <c r="B1232" s="80"/>
      <c r="C1232" s="86"/>
      <c r="D1232" s="48"/>
      <c r="E1232" s="48"/>
      <c r="F1232" s="49"/>
      <c r="G1232" s="48"/>
      <c r="H1232" s="49"/>
      <c r="I1232" s="48"/>
      <c r="J1232" s="49"/>
    </row>
    <row r="1233" spans="1:10" ht="12.75">
      <c r="A1233" s="42"/>
      <c r="B1233" s="80"/>
      <c r="C1233" s="86"/>
      <c r="D1233" s="48"/>
      <c r="E1233" s="48"/>
      <c r="F1233" s="49"/>
      <c r="G1233" s="48"/>
      <c r="H1233" s="49"/>
      <c r="I1233" s="48"/>
      <c r="J1233" s="49"/>
    </row>
    <row r="1234" spans="1:10" ht="12.75">
      <c r="A1234" s="42"/>
      <c r="B1234" s="80"/>
      <c r="C1234" s="86"/>
      <c r="D1234" s="48"/>
      <c r="E1234" s="48"/>
      <c r="F1234" s="49"/>
      <c r="G1234" s="48"/>
      <c r="H1234" s="49"/>
      <c r="I1234" s="48"/>
      <c r="J1234" s="49"/>
    </row>
    <row r="1235" spans="1:10" ht="12.75">
      <c r="A1235" s="42"/>
      <c r="B1235" s="80"/>
      <c r="C1235" s="86"/>
      <c r="D1235" s="48"/>
      <c r="E1235" s="48"/>
      <c r="F1235" s="49"/>
      <c r="G1235" s="48"/>
      <c r="H1235" s="49"/>
      <c r="I1235" s="48"/>
      <c r="J1235" s="49"/>
    </row>
    <row r="1236" spans="1:10" ht="12.75">
      <c r="A1236" s="42"/>
      <c r="B1236" s="80"/>
      <c r="C1236" s="86"/>
      <c r="D1236" s="48"/>
      <c r="E1236" s="48"/>
      <c r="F1236" s="49"/>
      <c r="G1236" s="48"/>
      <c r="H1236" s="49"/>
      <c r="I1236" s="48"/>
      <c r="J1236" s="49"/>
    </row>
    <row r="1237" spans="1:10" ht="12.75">
      <c r="A1237" s="42"/>
      <c r="B1237" s="80"/>
      <c r="C1237" s="86"/>
      <c r="D1237" s="48"/>
      <c r="E1237" s="48"/>
      <c r="F1237" s="49"/>
      <c r="G1237" s="48"/>
      <c r="H1237" s="49"/>
      <c r="I1237" s="48"/>
      <c r="J1237" s="49"/>
    </row>
    <row r="1238" spans="1:10" ht="12.75">
      <c r="A1238" s="42"/>
      <c r="B1238" s="80"/>
      <c r="C1238" s="86"/>
      <c r="D1238" s="48"/>
      <c r="E1238" s="48"/>
      <c r="F1238" s="49"/>
      <c r="G1238" s="48"/>
      <c r="H1238" s="49"/>
      <c r="I1238" s="48"/>
      <c r="J1238" s="49"/>
    </row>
    <row r="1239" spans="1:10" ht="12.75">
      <c r="A1239" s="42"/>
      <c r="B1239" s="80"/>
      <c r="C1239" s="86"/>
      <c r="D1239" s="48"/>
      <c r="E1239" s="48"/>
      <c r="F1239" s="49"/>
      <c r="G1239" s="48"/>
      <c r="H1239" s="49"/>
      <c r="I1239" s="48"/>
      <c r="J1239" s="49"/>
    </row>
    <row r="1240" spans="1:10" ht="12.75">
      <c r="A1240" s="42"/>
      <c r="B1240" s="80"/>
      <c r="C1240" s="86"/>
      <c r="D1240" s="48"/>
      <c r="E1240" s="48"/>
      <c r="F1240" s="49"/>
      <c r="G1240" s="48"/>
      <c r="H1240" s="49"/>
      <c r="I1240" s="48"/>
      <c r="J1240" s="49"/>
    </row>
    <row r="1241" spans="1:10" ht="12.75">
      <c r="A1241" s="42"/>
      <c r="B1241" s="80"/>
      <c r="C1241" s="86"/>
      <c r="D1241" s="48"/>
      <c r="E1241" s="48"/>
      <c r="F1241" s="49"/>
      <c r="G1241" s="48"/>
      <c r="H1241" s="49"/>
      <c r="I1241" s="48"/>
      <c r="J1241" s="49"/>
    </row>
    <row r="1242" spans="1:10" ht="12.75">
      <c r="A1242" s="42" t="s">
        <v>207</v>
      </c>
      <c r="B1242" s="80"/>
      <c r="C1242" s="86"/>
      <c r="D1242" s="48"/>
      <c r="E1242" s="48"/>
      <c r="F1242" s="49"/>
      <c r="G1242" s="48"/>
      <c r="H1242" s="49"/>
      <c r="I1242" s="48"/>
      <c r="J1242" s="49">
        <f>SUM(J1216:J1241)</f>
        <v>561820</v>
      </c>
    </row>
    <row r="1243" spans="1:10" ht="12.75">
      <c r="A1243" s="43"/>
      <c r="B1243" s="80"/>
      <c r="C1243" s="86"/>
      <c r="D1243" s="48"/>
      <c r="E1243" s="48"/>
      <c r="F1243" s="49"/>
      <c r="G1243" s="48"/>
      <c r="H1243" s="49"/>
      <c r="I1243" s="48"/>
      <c r="J1243" s="49"/>
    </row>
    <row r="1244" spans="1:10" ht="12.75">
      <c r="A1244" s="43"/>
      <c r="B1244" s="84"/>
      <c r="C1244" s="88"/>
      <c r="D1244" s="54"/>
      <c r="E1244" s="54"/>
      <c r="F1244" s="55"/>
      <c r="G1244" s="54"/>
      <c r="H1244" s="55"/>
      <c r="I1244" s="54"/>
      <c r="J1244" s="55"/>
    </row>
    <row r="1245" spans="1:10" ht="12.75"/>
    <row r="1246" spans="1:10" ht="12.75"/>
    <row r="1247" spans="1:10" ht="12.75">
      <c r="A1247" s="41" t="s">
        <v>204</v>
      </c>
      <c r="B1247" s="41"/>
      <c r="C1247" s="41"/>
      <c r="D1247" s="41"/>
      <c r="E1247" s="41"/>
      <c r="F1247" s="41"/>
    </row>
    <row r="1248" spans="1:10" ht="12.75"/>
    <row r="1249" spans="1:10" ht="12.75"/>
    <row r="1250" spans="1:10" ht="12.75">
      <c r="A1250" s="42" t="s">
        <v>188</v>
      </c>
      <c r="B1250" s="42" t="s">
        <v>189</v>
      </c>
      <c r="C1250" s="42"/>
      <c r="D1250" s="42"/>
      <c r="E1250" s="42"/>
      <c r="F1250" s="42"/>
      <c r="G1250" s="43" t="s">
        <v>113</v>
      </c>
      <c r="H1250" s="42" t="s">
        <v>205</v>
      </c>
      <c r="I1250" s="42" t="s">
        <v>210</v>
      </c>
      <c r="J1250" s="43"/>
    </row>
    <row r="1251" spans="1:10" ht="12.75">
      <c r="A1251" s="42" t="s">
        <v>191</v>
      </c>
      <c r="B1251" s="89">
        <v>45981</v>
      </c>
      <c r="C1251" s="42"/>
      <c r="D1251" s="42"/>
      <c r="E1251" s="42"/>
      <c r="F1251" s="42"/>
      <c r="G1251" s="43"/>
      <c r="H1251" s="42" t="s">
        <v>192</v>
      </c>
      <c r="I1251" s="91" t="s">
        <v>154</v>
      </c>
      <c r="J1251" s="43"/>
    </row>
    <row r="1252" spans="1:10" ht="12.75">
      <c r="A1252" s="42"/>
      <c r="B1252" s="42"/>
      <c r="C1252" s="42"/>
      <c r="D1252" s="42"/>
      <c r="E1252" s="42"/>
      <c r="F1252" s="42"/>
      <c r="G1252" s="43"/>
      <c r="H1252" s="43"/>
      <c r="I1252" s="43"/>
      <c r="J1252" s="43"/>
    </row>
    <row r="1253" spans="1:10" ht="12.75">
      <c r="A1253" s="42"/>
      <c r="B1253" s="44" t="s">
        <v>193</v>
      </c>
      <c r="C1253" s="44" t="s">
        <v>194</v>
      </c>
      <c r="D1253" s="44" t="s">
        <v>195</v>
      </c>
      <c r="E1253" s="44" t="s">
        <v>196</v>
      </c>
      <c r="F1253" s="44" t="s">
        <v>197</v>
      </c>
      <c r="G1253" s="44" t="s">
        <v>198</v>
      </c>
      <c r="H1253" s="44" t="s">
        <v>199</v>
      </c>
      <c r="I1253" s="44" t="s">
        <v>200</v>
      </c>
      <c r="J1253" s="44" t="s">
        <v>199</v>
      </c>
    </row>
    <row r="1254" spans="1:10" ht="12.75">
      <c r="A1254" s="42"/>
      <c r="B1254" s="79"/>
      <c r="C1254" s="85"/>
      <c r="D1254" s="45"/>
      <c r="E1254" s="45"/>
      <c r="F1254" s="46"/>
      <c r="G1254" s="45"/>
      <c r="H1254" s="46"/>
      <c r="I1254" s="45"/>
      <c r="J1254" s="47"/>
    </row>
    <row r="1255" spans="1:10" ht="12.75">
      <c r="B1255" s="82">
        <v>1</v>
      </c>
      <c r="C1255" s="60" t="s">
        <v>209</v>
      </c>
      <c r="D1255" s="48" t="s">
        <v>202</v>
      </c>
      <c r="E1255" s="48"/>
      <c r="F1255" s="69">
        <v>45981</v>
      </c>
      <c r="G1255" s="48" t="s">
        <v>113</v>
      </c>
      <c r="H1255" s="49"/>
      <c r="I1255" s="48" t="s">
        <v>139</v>
      </c>
      <c r="J1255" s="49">
        <v>80260</v>
      </c>
    </row>
    <row r="1256" spans="1:10" ht="12.75">
      <c r="B1256" s="82"/>
      <c r="C1256" s="60"/>
      <c r="D1256" s="48"/>
      <c r="E1256" s="48"/>
      <c r="F1256" s="49"/>
      <c r="G1256" s="48"/>
      <c r="H1256" s="49"/>
      <c r="I1256" s="48"/>
      <c r="J1256" s="49"/>
    </row>
    <row r="1257" spans="1:10" ht="12.75">
      <c r="A1257" s="42"/>
      <c r="B1257" s="82"/>
      <c r="C1257" s="60"/>
      <c r="D1257" s="48"/>
      <c r="E1257" s="48"/>
      <c r="F1257" s="69"/>
      <c r="G1257" s="48"/>
      <c r="H1257" s="49"/>
      <c r="I1257" s="48" t="s">
        <v>113</v>
      </c>
      <c r="J1257" s="49" t="s">
        <v>113</v>
      </c>
    </row>
    <row r="1258" spans="1:10" ht="12.75">
      <c r="A1258" s="42"/>
      <c r="B1258" s="82"/>
      <c r="C1258" s="60"/>
      <c r="D1258" s="48"/>
      <c r="E1258" s="48"/>
      <c r="F1258" s="49"/>
      <c r="G1258" s="48"/>
      <c r="H1258" s="49"/>
      <c r="I1258" s="48"/>
      <c r="J1258" s="49"/>
    </row>
    <row r="1259" spans="1:10" ht="12.75">
      <c r="B1259" s="82"/>
      <c r="C1259" s="60"/>
      <c r="D1259" s="48"/>
      <c r="E1259" s="48"/>
      <c r="F1259" s="69"/>
      <c r="G1259" s="48"/>
      <c r="H1259" s="49"/>
      <c r="I1259" s="48"/>
      <c r="J1259" s="49"/>
    </row>
    <row r="1260" spans="1:10" ht="12.75">
      <c r="B1260" s="82"/>
      <c r="C1260" s="60"/>
      <c r="D1260" s="48"/>
      <c r="E1260" s="48"/>
      <c r="F1260" s="49"/>
      <c r="G1260" s="48"/>
      <c r="H1260" s="49"/>
      <c r="I1260" s="48"/>
      <c r="J1260" s="49"/>
    </row>
    <row r="1261" spans="1:10" ht="12.75">
      <c r="A1261" s="42"/>
      <c r="B1261" s="82"/>
      <c r="C1261" s="60"/>
      <c r="D1261" s="48"/>
      <c r="E1261" s="48"/>
      <c r="F1261" s="69"/>
      <c r="G1261" s="48"/>
      <c r="H1261" s="49"/>
      <c r="I1261" s="48"/>
      <c r="J1261" s="49"/>
    </row>
    <row r="1262" spans="1:10" ht="12.75">
      <c r="A1262" s="42"/>
      <c r="B1262" s="80"/>
      <c r="C1262" s="86"/>
      <c r="D1262" s="48"/>
      <c r="E1262" s="48"/>
      <c r="F1262" s="49"/>
      <c r="G1262" s="48"/>
      <c r="H1262" s="49"/>
      <c r="I1262" s="48"/>
      <c r="J1262" s="49"/>
    </row>
    <row r="1263" spans="1:10" ht="12.75">
      <c r="B1263" s="80"/>
      <c r="C1263" s="60"/>
      <c r="D1263" s="48"/>
      <c r="E1263" s="48"/>
      <c r="F1263" s="69"/>
      <c r="G1263" s="48"/>
      <c r="H1263" s="49"/>
      <c r="I1263" s="48"/>
      <c r="J1263" s="49"/>
    </row>
    <row r="1264" spans="1:10" ht="12.75">
      <c r="A1264" s="42"/>
      <c r="B1264" s="80"/>
      <c r="C1264" s="86"/>
      <c r="D1264" s="48"/>
      <c r="E1264" s="48"/>
      <c r="F1264" s="49"/>
      <c r="G1264" s="48"/>
      <c r="H1264" s="49"/>
      <c r="I1264" s="48"/>
      <c r="J1264" s="49"/>
    </row>
    <row r="1265" spans="1:10" ht="12.75">
      <c r="A1265" s="42"/>
      <c r="B1265" s="80"/>
      <c r="C1265" s="60"/>
      <c r="D1265" s="48"/>
      <c r="E1265" s="48"/>
      <c r="F1265" s="69"/>
      <c r="G1265" s="48"/>
      <c r="H1265" s="49"/>
      <c r="I1265" s="48"/>
      <c r="J1265" s="49"/>
    </row>
    <row r="1266" spans="1:10" ht="12.75">
      <c r="A1266" s="42"/>
      <c r="B1266" s="80"/>
      <c r="C1266" s="86"/>
      <c r="D1266" s="48"/>
      <c r="E1266" s="48"/>
      <c r="F1266" s="49"/>
      <c r="G1266" s="48"/>
      <c r="H1266" s="49"/>
      <c r="I1266" s="48"/>
      <c r="J1266" s="49"/>
    </row>
    <row r="1267" spans="1:10" ht="12.75">
      <c r="A1267" s="42"/>
      <c r="B1267" s="80"/>
      <c r="C1267" s="86"/>
      <c r="D1267" s="48"/>
      <c r="E1267" s="48"/>
      <c r="F1267" s="49"/>
      <c r="G1267" s="48"/>
      <c r="H1267" s="49"/>
      <c r="I1267" s="48"/>
      <c r="J1267" s="49"/>
    </row>
    <row r="1268" spans="1:10" ht="12.75">
      <c r="A1268" s="42"/>
      <c r="B1268" s="80"/>
      <c r="C1268" s="86"/>
      <c r="D1268" s="48"/>
      <c r="E1268" s="48"/>
      <c r="F1268" s="49"/>
      <c r="G1268" s="48"/>
      <c r="H1268" s="49"/>
      <c r="I1268" s="48"/>
      <c r="J1268" s="49"/>
    </row>
    <row r="1269" spans="1:10" ht="12.75">
      <c r="A1269" s="42"/>
      <c r="B1269" s="80"/>
      <c r="C1269" s="86"/>
      <c r="D1269" s="48"/>
      <c r="E1269" s="48"/>
      <c r="F1269" s="49"/>
      <c r="G1269" s="48"/>
      <c r="H1269" s="49"/>
      <c r="I1269" s="48"/>
      <c r="J1269" s="49"/>
    </row>
    <row r="1270" spans="1:10" ht="12.75">
      <c r="A1270" s="42"/>
      <c r="B1270" s="80"/>
      <c r="C1270" s="86"/>
      <c r="D1270" s="48"/>
      <c r="E1270" s="48"/>
      <c r="F1270" s="49"/>
      <c r="G1270" s="48"/>
      <c r="H1270" s="49"/>
      <c r="I1270" s="48"/>
      <c r="J1270" s="49"/>
    </row>
    <row r="1271" spans="1:10" ht="12.75">
      <c r="A1271" s="42"/>
      <c r="B1271" s="80"/>
      <c r="C1271" s="86"/>
      <c r="D1271" s="48"/>
      <c r="E1271" s="48"/>
      <c r="F1271" s="49"/>
      <c r="G1271" s="48"/>
      <c r="H1271" s="49"/>
      <c r="I1271" s="48"/>
      <c r="J1271" s="49"/>
    </row>
    <row r="1272" spans="1:10" ht="12.75">
      <c r="A1272" s="42"/>
      <c r="B1272" s="80"/>
      <c r="C1272" s="86"/>
      <c r="D1272" s="48"/>
      <c r="E1272" s="48"/>
      <c r="F1272" s="49"/>
      <c r="G1272" s="48"/>
      <c r="H1272" s="49"/>
      <c r="I1272" s="48"/>
      <c r="J1272" s="49"/>
    </row>
    <row r="1273" spans="1:10" ht="12.75">
      <c r="A1273" s="42"/>
      <c r="B1273" s="80"/>
      <c r="C1273" s="86"/>
      <c r="D1273" s="48"/>
      <c r="E1273" s="48"/>
      <c r="F1273" s="49"/>
      <c r="G1273" s="48"/>
      <c r="H1273" s="49"/>
      <c r="I1273" s="48"/>
      <c r="J1273" s="49"/>
    </row>
    <row r="1274" spans="1:10" ht="12.75">
      <c r="A1274" s="42"/>
      <c r="B1274" s="80"/>
      <c r="C1274" s="86"/>
      <c r="D1274" s="48"/>
      <c r="E1274" s="48"/>
      <c r="F1274" s="49"/>
      <c r="G1274" s="48"/>
      <c r="H1274" s="49"/>
      <c r="I1274" s="48"/>
      <c r="J1274" s="49"/>
    </row>
    <row r="1275" spans="1:10" ht="12.75">
      <c r="A1275" s="42"/>
      <c r="B1275" s="80"/>
      <c r="C1275" s="86"/>
      <c r="D1275" s="48"/>
      <c r="E1275" s="48"/>
      <c r="F1275" s="49"/>
      <c r="G1275" s="48"/>
      <c r="H1275" s="49"/>
      <c r="I1275" s="48"/>
      <c r="J1275" s="49"/>
    </row>
    <row r="1276" spans="1:10" ht="12.75">
      <c r="A1276" s="42"/>
      <c r="B1276" s="80"/>
      <c r="C1276" s="86"/>
      <c r="D1276" s="48"/>
      <c r="E1276" s="48"/>
      <c r="F1276" s="49"/>
      <c r="G1276" s="48"/>
      <c r="H1276" s="49"/>
      <c r="I1276" s="48"/>
      <c r="J1276" s="49"/>
    </row>
    <row r="1277" spans="1:10" ht="12.75">
      <c r="A1277" s="42"/>
      <c r="B1277" s="80"/>
      <c r="C1277" s="86"/>
      <c r="D1277" s="48"/>
      <c r="E1277" s="48"/>
      <c r="F1277" s="49"/>
      <c r="G1277" s="48"/>
      <c r="H1277" s="49"/>
      <c r="I1277" s="48"/>
      <c r="J1277" s="49"/>
    </row>
    <row r="1278" spans="1:10" ht="12.75">
      <c r="A1278" s="42"/>
      <c r="B1278" s="80"/>
      <c r="C1278" s="86"/>
      <c r="D1278" s="48"/>
      <c r="E1278" s="48"/>
      <c r="F1278" s="49"/>
      <c r="G1278" s="48"/>
      <c r="H1278" s="49"/>
      <c r="I1278" s="48"/>
      <c r="J1278" s="49"/>
    </row>
    <row r="1279" spans="1:10" ht="12.75">
      <c r="A1279" s="42"/>
      <c r="B1279" s="80"/>
      <c r="C1279" s="86"/>
      <c r="D1279" s="48"/>
      <c r="E1279" s="48"/>
      <c r="F1279" s="49"/>
      <c r="G1279" s="48"/>
      <c r="H1279" s="49"/>
      <c r="I1279" s="48"/>
      <c r="J1279" s="49"/>
    </row>
    <row r="1280" spans="1:10" ht="12.75">
      <c r="A1280" s="42"/>
      <c r="B1280" s="80"/>
      <c r="C1280" s="86"/>
      <c r="D1280" s="48"/>
      <c r="E1280" s="48"/>
      <c r="F1280" s="49"/>
      <c r="G1280" s="48"/>
      <c r="H1280" s="49"/>
      <c r="I1280" s="48"/>
      <c r="J1280" s="49"/>
    </row>
    <row r="1281" spans="1:10" ht="12.75">
      <c r="A1281" s="42" t="s">
        <v>207</v>
      </c>
      <c r="B1281" s="80"/>
      <c r="C1281" s="86"/>
      <c r="D1281" s="48"/>
      <c r="E1281" s="48"/>
      <c r="F1281" s="49"/>
      <c r="G1281" s="48"/>
      <c r="H1281" s="49">
        <f>SUM(H1255:H1280)</f>
        <v>0</v>
      </c>
      <c r="I1281" s="48"/>
      <c r="J1281" s="49">
        <f>SUM(J1255:J1280)</f>
        <v>80260</v>
      </c>
    </row>
    <row r="1282" spans="1:10" ht="12.75">
      <c r="A1282" s="43"/>
      <c r="B1282" s="80"/>
      <c r="C1282" s="86"/>
      <c r="D1282" s="48"/>
      <c r="E1282" s="48"/>
      <c r="F1282" s="49"/>
      <c r="G1282" s="48"/>
      <c r="H1282" s="49"/>
      <c r="I1282" s="48"/>
      <c r="J1282" s="49"/>
    </row>
    <row r="1283" spans="1:10" ht="12.75">
      <c r="A1283" s="43"/>
      <c r="B1283" s="84"/>
      <c r="C1283" s="88"/>
      <c r="D1283" s="54"/>
      <c r="E1283" s="54"/>
      <c r="F1283" s="55"/>
      <c r="G1283" s="54"/>
      <c r="H1283" s="55"/>
      <c r="I1283" s="54"/>
      <c r="J1283" s="55"/>
    </row>
    <row r="1284" spans="1:10" ht="12.75"/>
    <row r="1285" spans="1:10" ht="12.75"/>
    <row r="1286" spans="1:10" ht="12.75">
      <c r="A1286" s="41" t="s">
        <v>187</v>
      </c>
      <c r="B1286" s="41"/>
      <c r="C1286" s="41"/>
      <c r="D1286" s="41"/>
      <c r="E1286" s="41"/>
      <c r="F1286" s="41"/>
    </row>
    <row r="1287" spans="1:10" ht="12.75">
      <c r="F1287" s="68" t="s">
        <v>113</v>
      </c>
    </row>
    <row r="1288" spans="1:10" ht="12.75"/>
    <row r="1289" spans="1:10" ht="12.75">
      <c r="A1289" s="42" t="s">
        <v>188</v>
      </c>
      <c r="B1289" s="42" t="s">
        <v>189</v>
      </c>
      <c r="C1289" s="42"/>
      <c r="D1289" s="42"/>
      <c r="E1289" s="42"/>
      <c r="F1289" s="42"/>
      <c r="G1289" s="43" t="s">
        <v>113</v>
      </c>
      <c r="H1289" s="42" t="s">
        <v>175</v>
      </c>
      <c r="I1289" s="90" t="s">
        <v>190</v>
      </c>
      <c r="J1289" s="43"/>
    </row>
    <row r="1290" spans="1:10" ht="12.75">
      <c r="A1290" s="42" t="s">
        <v>191</v>
      </c>
      <c r="B1290" s="89">
        <v>45982</v>
      </c>
      <c r="C1290" s="42"/>
      <c r="D1290" s="42"/>
      <c r="E1290" s="42"/>
      <c r="F1290" s="42"/>
      <c r="G1290" s="43"/>
      <c r="H1290" s="42" t="s">
        <v>192</v>
      </c>
      <c r="I1290" s="91" t="s">
        <v>109</v>
      </c>
      <c r="J1290" s="43"/>
    </row>
    <row r="1291" spans="1:10" ht="12.75">
      <c r="A1291" s="42"/>
      <c r="B1291" s="42"/>
      <c r="C1291" s="42"/>
      <c r="D1291" s="42"/>
      <c r="E1291" s="42"/>
      <c r="F1291" s="42"/>
      <c r="G1291" s="43"/>
      <c r="H1291" s="43"/>
      <c r="I1291" s="43"/>
      <c r="J1291" s="43"/>
    </row>
    <row r="1292" spans="1:10" ht="12.75">
      <c r="A1292" s="42"/>
      <c r="B1292" s="44" t="s">
        <v>193</v>
      </c>
      <c r="C1292" s="44" t="s">
        <v>194</v>
      </c>
      <c r="D1292" s="44" t="s">
        <v>195</v>
      </c>
      <c r="E1292" s="44" t="s">
        <v>196</v>
      </c>
      <c r="F1292" s="44" t="s">
        <v>197</v>
      </c>
      <c r="G1292" s="44" t="s">
        <v>198</v>
      </c>
      <c r="H1292" s="44" t="s">
        <v>199</v>
      </c>
      <c r="I1292" s="44" t="s">
        <v>200</v>
      </c>
      <c r="J1292" s="44" t="s">
        <v>199</v>
      </c>
    </row>
    <row r="1293" spans="1:10" ht="12.75">
      <c r="A1293" s="42"/>
      <c r="B1293" s="79"/>
      <c r="C1293" s="85"/>
      <c r="D1293" s="45"/>
      <c r="E1293" s="45"/>
      <c r="F1293" s="46"/>
      <c r="G1293" s="45"/>
      <c r="H1293" s="46"/>
      <c r="I1293" s="45"/>
      <c r="J1293" s="47"/>
    </row>
    <row r="1294" spans="1:10" ht="12.75">
      <c r="B1294" s="80">
        <v>1</v>
      </c>
      <c r="C1294" s="86" t="s">
        <v>201</v>
      </c>
      <c r="D1294" s="48" t="s">
        <v>202</v>
      </c>
      <c r="E1294" s="48"/>
      <c r="F1294" s="69">
        <v>45982</v>
      </c>
      <c r="G1294" s="48" t="s">
        <v>125</v>
      </c>
      <c r="H1294" s="49">
        <v>10000</v>
      </c>
      <c r="I1294" s="48" t="s">
        <v>113</v>
      </c>
      <c r="J1294" s="49" t="s">
        <v>113</v>
      </c>
    </row>
    <row r="1295" spans="1:10" ht="12.75">
      <c r="A1295" s="42"/>
      <c r="B1295" s="80"/>
      <c r="C1295" s="86"/>
      <c r="D1295" s="48"/>
      <c r="E1295" s="48"/>
      <c r="F1295" s="49"/>
      <c r="G1295" s="48"/>
      <c r="H1295" s="49"/>
      <c r="I1295" s="48"/>
      <c r="J1295" s="49"/>
    </row>
    <row r="1296" spans="1:10" ht="12.75">
      <c r="B1296" s="81"/>
      <c r="C1296" s="59"/>
      <c r="D1296" s="48"/>
      <c r="E1296" s="48"/>
      <c r="F1296" s="69"/>
      <c r="G1296" s="48"/>
      <c r="H1296" s="49"/>
      <c r="I1296" s="48"/>
      <c r="J1296" s="49"/>
    </row>
    <row r="1297" spans="1:11" ht="12.75">
      <c r="B1297" s="81"/>
      <c r="C1297" s="59"/>
      <c r="D1297" s="48"/>
      <c r="E1297" s="48"/>
      <c r="F1297" s="49"/>
      <c r="G1297" s="48"/>
      <c r="H1297" s="49"/>
      <c r="I1297" s="48"/>
      <c r="J1297" s="49"/>
    </row>
    <row r="1298" spans="1:11" ht="12.75">
      <c r="A1298" s="42"/>
      <c r="B1298" s="81"/>
      <c r="C1298" s="104"/>
      <c r="D1298" s="48"/>
      <c r="E1298" s="48"/>
      <c r="F1298" s="69"/>
      <c r="G1298" s="48"/>
      <c r="H1298" s="49"/>
      <c r="I1298" s="48"/>
      <c r="J1298" s="49"/>
    </row>
    <row r="1299" spans="1:11" ht="12.75">
      <c r="A1299" s="42"/>
      <c r="B1299" s="81"/>
      <c r="C1299" s="59"/>
      <c r="D1299" s="48"/>
      <c r="E1299" s="48"/>
      <c r="F1299" s="49"/>
      <c r="G1299" s="48"/>
      <c r="H1299" s="49"/>
      <c r="I1299" s="48"/>
      <c r="J1299" s="49"/>
    </row>
    <row r="1300" spans="1:11" ht="12.75">
      <c r="A1300" s="42"/>
      <c r="B1300" s="82"/>
      <c r="C1300" s="60"/>
      <c r="D1300" s="48"/>
      <c r="E1300" s="48"/>
      <c r="F1300" s="69"/>
      <c r="G1300" s="48"/>
      <c r="H1300" s="49"/>
      <c r="I1300" s="48"/>
      <c r="J1300" s="49"/>
    </row>
    <row r="1301" spans="1:11" ht="12.75">
      <c r="B1301" s="80"/>
      <c r="C1301" s="86"/>
      <c r="D1301" s="48"/>
      <c r="E1301" s="48"/>
      <c r="F1301" s="49"/>
      <c r="G1301" s="48"/>
      <c r="H1301" s="49"/>
      <c r="I1301" s="48"/>
      <c r="J1301" s="49"/>
    </row>
    <row r="1302" spans="1:11" ht="12.75">
      <c r="A1302" s="42"/>
      <c r="B1302" s="80"/>
      <c r="C1302" s="86"/>
      <c r="D1302" s="48"/>
      <c r="E1302" s="48"/>
      <c r="F1302" s="49"/>
      <c r="G1302" s="48"/>
      <c r="H1302" s="49"/>
      <c r="I1302" s="48"/>
      <c r="J1302" s="49"/>
    </row>
    <row r="1303" spans="1:11" ht="12.75">
      <c r="A1303" s="42"/>
      <c r="B1303" s="80"/>
      <c r="C1303" s="86"/>
      <c r="D1303" s="48"/>
      <c r="E1303" s="48"/>
      <c r="F1303" s="49"/>
      <c r="G1303" s="48"/>
      <c r="H1303" s="49"/>
      <c r="I1303" s="48"/>
      <c r="J1303" s="49"/>
    </row>
    <row r="1304" spans="1:11" ht="12.75">
      <c r="A1304" s="42"/>
      <c r="B1304" s="80"/>
      <c r="C1304" s="86"/>
      <c r="D1304" s="48"/>
      <c r="E1304" s="48"/>
      <c r="F1304" s="49"/>
      <c r="G1304" s="48"/>
      <c r="H1304" s="49"/>
      <c r="I1304" s="48"/>
      <c r="J1304" s="49"/>
    </row>
    <row r="1305" spans="1:11" ht="12.75">
      <c r="A1305" s="42"/>
      <c r="B1305" s="80"/>
      <c r="C1305" s="86"/>
      <c r="D1305" s="48"/>
      <c r="E1305" s="48"/>
      <c r="F1305" s="49"/>
      <c r="G1305" s="48"/>
      <c r="H1305" s="49"/>
      <c r="I1305" s="48"/>
      <c r="J1305" s="49"/>
    </row>
    <row r="1306" spans="1:11" ht="12.75">
      <c r="A1306" s="42"/>
      <c r="B1306" s="80"/>
      <c r="C1306" s="86"/>
      <c r="D1306" s="48"/>
      <c r="E1306" s="48"/>
      <c r="F1306" s="49"/>
      <c r="G1306" s="48"/>
      <c r="H1306" s="49"/>
      <c r="I1306" s="48"/>
      <c r="J1306" s="49"/>
    </row>
    <row r="1307" spans="1:11" ht="12.75">
      <c r="A1307" s="50"/>
      <c r="B1307" s="83"/>
      <c r="C1307" s="87"/>
      <c r="D1307" s="51"/>
      <c r="E1307" s="51"/>
      <c r="F1307" s="52"/>
      <c r="G1307" s="51"/>
      <c r="H1307" s="52"/>
      <c r="I1307" s="51"/>
      <c r="J1307" s="52"/>
      <c r="K1307" s="53"/>
    </row>
    <row r="1308" spans="1:11" ht="12.75">
      <c r="A1308" s="42"/>
      <c r="B1308" s="80"/>
      <c r="C1308" s="86"/>
      <c r="D1308" s="48"/>
      <c r="E1308" s="48"/>
      <c r="F1308" s="49"/>
      <c r="G1308" s="48"/>
      <c r="H1308" s="49"/>
      <c r="I1308" s="48"/>
      <c r="J1308" s="49"/>
    </row>
    <row r="1309" spans="1:11" ht="12.75">
      <c r="A1309" s="42"/>
      <c r="B1309" s="80"/>
      <c r="C1309" s="86"/>
      <c r="D1309" s="48"/>
      <c r="E1309" s="48"/>
      <c r="F1309" s="49"/>
      <c r="G1309" s="48"/>
      <c r="H1309" s="49"/>
      <c r="I1309" s="48"/>
      <c r="J1309" s="49"/>
    </row>
    <row r="1310" spans="1:11" ht="12.75">
      <c r="A1310" s="42"/>
      <c r="B1310" s="80"/>
      <c r="C1310" s="86"/>
      <c r="D1310" s="48"/>
      <c r="E1310" s="48"/>
      <c r="F1310" s="49"/>
      <c r="G1310" s="48"/>
      <c r="H1310" s="49"/>
      <c r="I1310" s="48"/>
      <c r="J1310" s="49"/>
    </row>
    <row r="1311" spans="1:11" ht="12.75">
      <c r="A1311" s="42"/>
      <c r="B1311" s="80"/>
      <c r="C1311" s="86"/>
      <c r="D1311" s="48"/>
      <c r="E1311" s="48"/>
      <c r="F1311" s="49"/>
      <c r="G1311" s="48"/>
      <c r="H1311" s="49"/>
      <c r="I1311" s="48"/>
      <c r="J1311" s="49"/>
    </row>
    <row r="1312" spans="1:11" ht="12.75">
      <c r="A1312" s="42"/>
      <c r="B1312" s="80"/>
      <c r="C1312" s="86"/>
      <c r="D1312" s="48"/>
      <c r="E1312" s="48"/>
      <c r="F1312" s="49"/>
      <c r="G1312" s="48"/>
      <c r="H1312" s="49"/>
      <c r="I1312" s="48"/>
      <c r="J1312" s="49"/>
    </row>
    <row r="1313" spans="1:10" ht="12.75">
      <c r="A1313" s="42"/>
      <c r="B1313" s="80"/>
      <c r="C1313" s="86"/>
      <c r="D1313" s="48"/>
      <c r="E1313" s="48"/>
      <c r="F1313" s="49"/>
      <c r="G1313" s="48"/>
      <c r="H1313" s="49"/>
      <c r="I1313" s="48"/>
      <c r="J1313" s="49"/>
    </row>
    <row r="1314" spans="1:10" ht="12.75">
      <c r="A1314" s="42"/>
      <c r="B1314" s="80"/>
      <c r="C1314" s="86"/>
      <c r="D1314" s="48"/>
      <c r="E1314" s="48"/>
      <c r="F1314" s="49"/>
      <c r="G1314" s="48"/>
      <c r="H1314" s="49"/>
      <c r="I1314" s="48"/>
      <c r="J1314" s="49"/>
    </row>
    <row r="1315" spans="1:10" ht="12.75">
      <c r="A1315" s="42"/>
      <c r="B1315" s="80"/>
      <c r="C1315" s="86"/>
      <c r="D1315" s="48"/>
      <c r="E1315" s="48"/>
      <c r="F1315" s="49"/>
      <c r="G1315" s="48"/>
      <c r="H1315" s="49"/>
      <c r="I1315" s="48"/>
      <c r="J1315" s="49"/>
    </row>
    <row r="1316" spans="1:10" ht="12.75">
      <c r="A1316" s="42"/>
      <c r="B1316" s="80"/>
      <c r="C1316" s="86"/>
      <c r="D1316" s="48"/>
      <c r="E1316" s="48"/>
      <c r="F1316" s="49"/>
      <c r="G1316" s="48"/>
      <c r="H1316" s="49"/>
      <c r="I1316" s="48"/>
      <c r="J1316" s="49"/>
    </row>
    <row r="1317" spans="1:10" ht="12.75">
      <c r="A1317" s="42"/>
      <c r="B1317" s="80"/>
      <c r="C1317" s="86"/>
      <c r="D1317" s="48"/>
      <c r="E1317" s="48"/>
      <c r="F1317" s="49"/>
      <c r="G1317" s="48"/>
      <c r="H1317" s="49"/>
      <c r="I1317" s="48"/>
      <c r="J1317" s="49"/>
    </row>
    <row r="1318" spans="1:10" ht="12.75">
      <c r="A1318" s="42"/>
      <c r="B1318" s="80"/>
      <c r="C1318" s="86"/>
      <c r="D1318" s="48"/>
      <c r="E1318" s="48"/>
      <c r="F1318" s="49"/>
      <c r="G1318" s="48"/>
      <c r="H1318" s="49"/>
      <c r="I1318" s="48"/>
      <c r="J1318" s="49"/>
    </row>
    <row r="1319" spans="1:10" ht="12.75">
      <c r="A1319" s="42"/>
      <c r="B1319" s="80"/>
      <c r="C1319" s="86"/>
      <c r="D1319" s="48"/>
      <c r="E1319" s="48"/>
      <c r="F1319" s="49"/>
      <c r="G1319" s="48"/>
      <c r="H1319" s="49"/>
      <c r="I1319" s="48"/>
      <c r="J1319" s="49"/>
    </row>
    <row r="1320" spans="1:10" ht="12.75">
      <c r="A1320" s="42"/>
      <c r="B1320" s="80"/>
      <c r="C1320" s="86"/>
      <c r="D1320" s="48"/>
      <c r="E1320" s="48"/>
      <c r="F1320" s="49"/>
      <c r="G1320" s="48"/>
      <c r="H1320" s="49"/>
      <c r="I1320" s="48"/>
      <c r="J1320" s="49"/>
    </row>
    <row r="1321" spans="1:10" ht="12.75">
      <c r="A1321" s="42"/>
      <c r="B1321" s="80"/>
      <c r="C1321" s="86"/>
      <c r="D1321" s="48"/>
      <c r="E1321" s="48"/>
      <c r="F1321" s="49"/>
      <c r="G1321" s="48"/>
      <c r="H1321" s="49"/>
      <c r="I1321" s="48"/>
      <c r="J1321" s="49"/>
    </row>
    <row r="1322" spans="1:10" ht="12.75">
      <c r="A1322" s="42"/>
      <c r="B1322" s="80"/>
      <c r="C1322" s="86"/>
      <c r="D1322" s="48"/>
      <c r="E1322" s="48"/>
      <c r="F1322" s="49"/>
      <c r="G1322" s="48"/>
      <c r="H1322" s="49"/>
      <c r="I1322" s="48"/>
      <c r="J1322" s="49"/>
    </row>
    <row r="1323" spans="1:10" ht="12.75">
      <c r="A1323" s="42" t="s">
        <v>203</v>
      </c>
      <c r="B1323" s="80"/>
      <c r="C1323" s="86"/>
      <c r="D1323" s="48"/>
      <c r="E1323" s="48"/>
      <c r="F1323" s="49"/>
      <c r="G1323" s="48"/>
      <c r="H1323" s="49">
        <f>SUM(H1294:H1322)</f>
        <v>10000</v>
      </c>
      <c r="I1323" s="48"/>
      <c r="J1323" s="49">
        <f>SUM(J1294:J1321)</f>
        <v>0</v>
      </c>
    </row>
    <row r="1324" spans="1:10" ht="12.75">
      <c r="A1324" s="43"/>
      <c r="B1324" s="80"/>
      <c r="C1324" s="86"/>
      <c r="D1324" s="48"/>
      <c r="E1324" s="48"/>
      <c r="F1324" s="49"/>
      <c r="G1324" s="48"/>
      <c r="H1324" s="49"/>
      <c r="I1324" s="48"/>
      <c r="J1324" s="49"/>
    </row>
    <row r="1325" spans="1:10" ht="12.75">
      <c r="A1325" s="43"/>
      <c r="B1325" s="84"/>
      <c r="C1325" s="88"/>
      <c r="D1325" s="54"/>
      <c r="E1325" s="54"/>
      <c r="F1325" s="55"/>
      <c r="G1325" s="54"/>
      <c r="H1325" s="55"/>
      <c r="I1325" s="54"/>
      <c r="J1325" s="55"/>
    </row>
    <row r="1326" spans="1:10" ht="12.75"/>
    <row r="1327" spans="1:10" ht="12.75"/>
    <row r="1328" spans="1:10" ht="12.75">
      <c r="A1328" s="41" t="s">
        <v>204</v>
      </c>
      <c r="B1328" s="41"/>
      <c r="C1328" s="41"/>
      <c r="D1328" s="41"/>
      <c r="E1328" s="41"/>
      <c r="F1328" s="41"/>
    </row>
    <row r="1329" spans="1:10" ht="12.75"/>
    <row r="1330" spans="1:10" ht="12.75"/>
    <row r="1331" spans="1:10" ht="12.75">
      <c r="A1331" s="42" t="s">
        <v>188</v>
      </c>
      <c r="B1331" s="42" t="s">
        <v>189</v>
      </c>
      <c r="C1331" s="42"/>
      <c r="D1331" s="42"/>
      <c r="E1331" s="42"/>
      <c r="F1331" s="42"/>
      <c r="G1331" s="43" t="s">
        <v>113</v>
      </c>
      <c r="H1331" s="42" t="s">
        <v>205</v>
      </c>
      <c r="I1331" s="42" t="s">
        <v>208</v>
      </c>
      <c r="J1331" s="43"/>
    </row>
    <row r="1332" spans="1:10" ht="12.75">
      <c r="A1332" s="42" t="s">
        <v>191</v>
      </c>
      <c r="B1332" s="89">
        <v>45982</v>
      </c>
      <c r="C1332" s="42"/>
      <c r="D1332" s="42"/>
      <c r="E1332" s="42"/>
      <c r="F1332" s="42"/>
      <c r="G1332" s="43"/>
      <c r="H1332" s="42" t="s">
        <v>192</v>
      </c>
      <c r="I1332" s="91" t="s">
        <v>137</v>
      </c>
      <c r="J1332" s="43"/>
    </row>
    <row r="1333" spans="1:10" ht="12.75">
      <c r="A1333" s="42"/>
      <c r="B1333" s="42"/>
      <c r="C1333" s="42"/>
      <c r="D1333" s="42"/>
      <c r="E1333" s="42"/>
      <c r="F1333" s="42"/>
      <c r="G1333" s="43"/>
      <c r="H1333" s="43"/>
      <c r="I1333" s="43"/>
      <c r="J1333" s="43"/>
    </row>
    <row r="1334" spans="1:10" ht="12.75">
      <c r="A1334" s="42"/>
      <c r="B1334" s="44" t="s">
        <v>193</v>
      </c>
      <c r="C1334" s="44" t="s">
        <v>194</v>
      </c>
      <c r="D1334" s="44" t="s">
        <v>195</v>
      </c>
      <c r="E1334" s="44" t="s">
        <v>196</v>
      </c>
      <c r="F1334" s="44" t="s">
        <v>197</v>
      </c>
      <c r="G1334" s="44" t="s">
        <v>198</v>
      </c>
      <c r="H1334" s="44" t="s">
        <v>199</v>
      </c>
      <c r="I1334" s="44" t="s">
        <v>200</v>
      </c>
      <c r="J1334" s="44" t="s">
        <v>199</v>
      </c>
    </row>
    <row r="1335" spans="1:10" ht="12.75">
      <c r="A1335" s="42"/>
      <c r="B1335" s="79"/>
      <c r="C1335" s="85"/>
      <c r="D1335" s="45"/>
      <c r="E1335" s="45"/>
      <c r="F1335" s="46"/>
      <c r="G1335" s="45"/>
      <c r="H1335" s="46"/>
      <c r="I1335" s="45"/>
      <c r="J1335" s="47"/>
    </row>
    <row r="1336" spans="1:10" ht="12.75">
      <c r="B1336" s="82">
        <v>1</v>
      </c>
      <c r="C1336" s="60" t="s">
        <v>209</v>
      </c>
      <c r="D1336" s="48" t="s">
        <v>202</v>
      </c>
      <c r="E1336" s="48"/>
      <c r="F1336" s="69">
        <v>45982</v>
      </c>
      <c r="G1336" s="48" t="s">
        <v>113</v>
      </c>
      <c r="H1336" s="49"/>
      <c r="I1336" s="48" t="s">
        <v>139</v>
      </c>
      <c r="J1336" s="49">
        <v>10000</v>
      </c>
    </row>
    <row r="1337" spans="1:10" ht="12.75">
      <c r="B1337" s="82"/>
      <c r="C1337" s="60"/>
      <c r="D1337" s="48"/>
      <c r="E1337" s="48"/>
      <c r="F1337" s="49"/>
      <c r="G1337" s="48"/>
      <c r="H1337" s="49"/>
      <c r="I1337" s="48"/>
      <c r="J1337" s="49"/>
    </row>
    <row r="1338" spans="1:10" ht="12.75">
      <c r="A1338" s="42"/>
      <c r="B1338" s="82"/>
      <c r="C1338" s="60"/>
      <c r="D1338" s="48"/>
      <c r="E1338" s="48"/>
      <c r="F1338" s="69"/>
      <c r="G1338" s="48"/>
      <c r="H1338" s="49"/>
      <c r="I1338" s="48"/>
      <c r="J1338" s="49"/>
    </row>
    <row r="1339" spans="1:10" ht="12.75">
      <c r="A1339" s="42"/>
      <c r="B1339" s="82"/>
      <c r="C1339" s="60"/>
      <c r="D1339" s="48"/>
      <c r="E1339" s="48"/>
      <c r="F1339" s="49"/>
      <c r="G1339" s="48"/>
      <c r="H1339" s="49"/>
      <c r="I1339" s="48"/>
      <c r="J1339" s="49"/>
    </row>
    <row r="1340" spans="1:10" ht="12.75">
      <c r="B1340" s="82"/>
      <c r="C1340" s="60"/>
      <c r="D1340" s="48"/>
      <c r="E1340" s="48"/>
      <c r="F1340" s="69"/>
      <c r="G1340" s="48"/>
      <c r="H1340" s="49"/>
      <c r="I1340" s="48"/>
      <c r="J1340" s="49"/>
    </row>
    <row r="1341" spans="1:10" ht="12.75">
      <c r="B1341" s="82"/>
      <c r="C1341" s="60"/>
      <c r="D1341" s="48"/>
      <c r="E1341" s="48"/>
      <c r="F1341" s="49"/>
      <c r="G1341" s="48"/>
      <c r="H1341" s="49"/>
      <c r="I1341" s="48"/>
      <c r="J1341" s="49"/>
    </row>
    <row r="1342" spans="1:10" ht="12.75">
      <c r="A1342" s="42"/>
      <c r="B1342" s="82"/>
      <c r="C1342" s="60"/>
      <c r="D1342" s="48"/>
      <c r="E1342" s="48"/>
      <c r="F1342" s="69"/>
      <c r="G1342" s="48"/>
      <c r="H1342" s="49"/>
      <c r="I1342" s="48"/>
      <c r="J1342" s="49"/>
    </row>
    <row r="1343" spans="1:10" ht="12.75">
      <c r="A1343" s="42"/>
      <c r="B1343" s="80"/>
      <c r="C1343" s="86"/>
      <c r="D1343" s="48"/>
      <c r="E1343" s="48"/>
      <c r="F1343" s="49"/>
      <c r="G1343" s="48"/>
      <c r="H1343" s="49"/>
      <c r="I1343" s="48"/>
      <c r="J1343" s="49"/>
    </row>
    <row r="1344" spans="1:10" ht="12.75">
      <c r="B1344" s="80"/>
      <c r="C1344" s="60"/>
      <c r="D1344" s="48"/>
      <c r="E1344" s="48"/>
      <c r="F1344" s="69"/>
      <c r="G1344" s="48"/>
      <c r="H1344" s="49"/>
      <c r="I1344" s="48"/>
      <c r="J1344" s="49"/>
    </row>
    <row r="1345" spans="1:10" ht="12.75">
      <c r="A1345" s="42"/>
      <c r="B1345" s="80"/>
      <c r="C1345" s="86"/>
      <c r="D1345" s="48"/>
      <c r="E1345" s="48"/>
      <c r="F1345" s="49"/>
      <c r="G1345" s="48"/>
      <c r="H1345" s="49"/>
      <c r="I1345" s="48"/>
      <c r="J1345" s="49"/>
    </row>
    <row r="1346" spans="1:10" ht="12.75">
      <c r="A1346" s="42"/>
      <c r="B1346" s="80"/>
      <c r="C1346" s="60"/>
      <c r="D1346" s="48"/>
      <c r="E1346" s="48"/>
      <c r="F1346" s="69"/>
      <c r="G1346" s="48"/>
      <c r="H1346" s="49"/>
      <c r="I1346" s="48"/>
      <c r="J1346" s="49"/>
    </row>
    <row r="1347" spans="1:10" ht="12.75">
      <c r="A1347" s="42"/>
      <c r="B1347" s="80"/>
      <c r="C1347" s="86"/>
      <c r="D1347" s="48"/>
      <c r="E1347" s="48"/>
      <c r="F1347" s="49"/>
      <c r="G1347" s="48"/>
      <c r="H1347" s="49"/>
      <c r="I1347" s="48"/>
      <c r="J1347" s="49"/>
    </row>
    <row r="1348" spans="1:10" ht="12.75">
      <c r="A1348" s="42"/>
      <c r="B1348" s="80"/>
      <c r="C1348" s="86"/>
      <c r="D1348" s="48"/>
      <c r="E1348" s="48"/>
      <c r="F1348" s="49"/>
      <c r="G1348" s="48"/>
      <c r="H1348" s="49"/>
      <c r="I1348" s="48"/>
      <c r="J1348" s="49"/>
    </row>
    <row r="1349" spans="1:10" ht="12.75">
      <c r="A1349" s="42"/>
      <c r="B1349" s="80"/>
      <c r="C1349" s="86"/>
      <c r="D1349" s="48"/>
      <c r="E1349" s="48"/>
      <c r="F1349" s="49"/>
      <c r="G1349" s="48"/>
      <c r="H1349" s="49"/>
      <c r="I1349" s="48"/>
      <c r="J1349" s="49"/>
    </row>
    <row r="1350" spans="1:10" ht="12.75">
      <c r="A1350" s="42"/>
      <c r="B1350" s="80"/>
      <c r="C1350" s="86"/>
      <c r="D1350" s="48"/>
      <c r="E1350" s="48"/>
      <c r="F1350" s="49"/>
      <c r="G1350" s="48"/>
      <c r="H1350" s="49"/>
      <c r="I1350" s="48"/>
      <c r="J1350" s="49"/>
    </row>
    <row r="1351" spans="1:10" ht="12.75">
      <c r="A1351" s="42"/>
      <c r="B1351" s="80"/>
      <c r="C1351" s="86"/>
      <c r="D1351" s="48"/>
      <c r="E1351" s="48"/>
      <c r="F1351" s="49"/>
      <c r="G1351" s="48"/>
      <c r="H1351" s="49"/>
      <c r="I1351" s="48"/>
      <c r="J1351" s="49"/>
    </row>
    <row r="1352" spans="1:10" ht="12.75">
      <c r="A1352" s="42"/>
      <c r="B1352" s="80"/>
      <c r="C1352" s="86"/>
      <c r="D1352" s="48"/>
      <c r="E1352" s="48"/>
      <c r="F1352" s="49"/>
      <c r="G1352" s="48"/>
      <c r="H1352" s="49"/>
      <c r="I1352" s="48"/>
      <c r="J1352" s="49"/>
    </row>
    <row r="1353" spans="1:10" ht="12.75">
      <c r="A1353" s="42"/>
      <c r="B1353" s="80"/>
      <c r="C1353" s="86"/>
      <c r="D1353" s="48"/>
      <c r="E1353" s="48"/>
      <c r="F1353" s="49"/>
      <c r="G1353" s="48"/>
      <c r="H1353" s="49"/>
      <c r="I1353" s="48"/>
      <c r="J1353" s="49"/>
    </row>
    <row r="1354" spans="1:10" ht="12.75">
      <c r="A1354" s="42"/>
      <c r="B1354" s="80"/>
      <c r="C1354" s="86"/>
      <c r="D1354" s="48"/>
      <c r="E1354" s="48"/>
      <c r="F1354" s="49"/>
      <c r="G1354" s="48"/>
      <c r="H1354" s="49"/>
      <c r="I1354" s="48"/>
      <c r="J1354" s="49"/>
    </row>
    <row r="1355" spans="1:10" ht="12.75">
      <c r="A1355" s="42"/>
      <c r="B1355" s="80"/>
      <c r="C1355" s="86"/>
      <c r="D1355" s="48"/>
      <c r="E1355" s="48"/>
      <c r="F1355" s="49"/>
      <c r="G1355" s="48"/>
      <c r="H1355" s="49"/>
      <c r="I1355" s="48"/>
      <c r="J1355" s="49"/>
    </row>
    <row r="1356" spans="1:10" ht="12.75">
      <c r="A1356" s="42"/>
      <c r="B1356" s="80"/>
      <c r="C1356" s="86"/>
      <c r="D1356" s="48"/>
      <c r="E1356" s="48"/>
      <c r="F1356" s="49"/>
      <c r="G1356" s="48"/>
      <c r="H1356" s="49"/>
      <c r="I1356" s="48"/>
      <c r="J1356" s="49"/>
    </row>
    <row r="1357" spans="1:10" ht="12.75">
      <c r="A1357" s="42"/>
      <c r="B1357" s="80"/>
      <c r="C1357" s="86"/>
      <c r="D1357" s="48"/>
      <c r="E1357" s="48"/>
      <c r="F1357" s="49"/>
      <c r="G1357" s="48"/>
      <c r="H1357" s="49"/>
      <c r="I1357" s="48"/>
      <c r="J1357" s="49"/>
    </row>
    <row r="1358" spans="1:10" ht="12.75">
      <c r="A1358" s="42"/>
      <c r="B1358" s="80"/>
      <c r="C1358" s="86"/>
      <c r="D1358" s="48"/>
      <c r="E1358" s="48"/>
      <c r="F1358" s="49"/>
      <c r="G1358" s="48"/>
      <c r="H1358" s="49"/>
      <c r="I1358" s="48"/>
      <c r="J1358" s="49"/>
    </row>
    <row r="1359" spans="1:10" ht="12.75">
      <c r="A1359" s="42"/>
      <c r="B1359" s="80"/>
      <c r="C1359" s="86"/>
      <c r="D1359" s="48"/>
      <c r="E1359" s="48"/>
      <c r="F1359" s="49"/>
      <c r="G1359" s="48"/>
      <c r="H1359" s="49"/>
      <c r="I1359" s="48"/>
      <c r="J1359" s="49"/>
    </row>
    <row r="1360" spans="1:10" ht="12.75">
      <c r="A1360" s="42"/>
      <c r="B1360" s="80"/>
      <c r="C1360" s="86"/>
      <c r="D1360" s="48"/>
      <c r="E1360" s="48"/>
      <c r="F1360" s="49"/>
      <c r="G1360" s="48"/>
      <c r="H1360" s="49"/>
      <c r="I1360" s="48"/>
      <c r="J1360" s="49"/>
    </row>
    <row r="1361" spans="1:10" ht="12.75">
      <c r="A1361" s="42"/>
      <c r="B1361" s="80"/>
      <c r="C1361" s="86"/>
      <c r="D1361" s="48"/>
      <c r="E1361" s="48"/>
      <c r="F1361" s="49"/>
      <c r="G1361" s="48"/>
      <c r="H1361" s="49"/>
      <c r="I1361" s="48"/>
      <c r="J1361" s="49"/>
    </row>
    <row r="1362" spans="1:10" ht="12.75">
      <c r="A1362" s="42" t="s">
        <v>207</v>
      </c>
      <c r="B1362" s="80"/>
      <c r="C1362" s="86"/>
      <c r="D1362" s="48"/>
      <c r="E1362" s="48"/>
      <c r="F1362" s="49"/>
      <c r="G1362" s="48"/>
      <c r="H1362" s="49"/>
      <c r="I1362" s="48"/>
      <c r="J1362" s="49">
        <f>SUM(J1336:J1361)</f>
        <v>10000</v>
      </c>
    </row>
    <row r="1363" spans="1:10" ht="12.75">
      <c r="A1363" s="43"/>
      <c r="B1363" s="80"/>
      <c r="C1363" s="86"/>
      <c r="D1363" s="48"/>
      <c r="E1363" s="48"/>
      <c r="F1363" s="49"/>
      <c r="G1363" s="48"/>
      <c r="H1363" s="49"/>
      <c r="I1363" s="48"/>
      <c r="J1363" s="49"/>
    </row>
    <row r="1364" spans="1:10" ht="12.75">
      <c r="A1364" s="43"/>
      <c r="B1364" s="84"/>
      <c r="C1364" s="88"/>
      <c r="D1364" s="54"/>
      <c r="E1364" s="54"/>
      <c r="F1364" s="55"/>
      <c r="G1364" s="54"/>
      <c r="H1364" s="55"/>
      <c r="I1364" s="54"/>
      <c r="J1364" s="55"/>
    </row>
    <row r="1365" spans="1:10" ht="12.75"/>
    <row r="1366" spans="1:10" ht="12.75"/>
    <row r="1367" spans="1:10" ht="12.75">
      <c r="A1367" s="41" t="s">
        <v>204</v>
      </c>
      <c r="B1367" s="41"/>
      <c r="C1367" s="41"/>
      <c r="D1367" s="41"/>
      <c r="E1367" s="41"/>
      <c r="F1367" s="41"/>
    </row>
    <row r="1368" spans="1:10" ht="12.75"/>
    <row r="1369" spans="1:10" ht="12.75"/>
    <row r="1370" spans="1:10" ht="12.75">
      <c r="A1370" s="42" t="s">
        <v>188</v>
      </c>
      <c r="B1370" s="42" t="s">
        <v>189</v>
      </c>
      <c r="C1370" s="42"/>
      <c r="D1370" s="42"/>
      <c r="E1370" s="42"/>
      <c r="F1370" s="42"/>
      <c r="G1370" s="43" t="s">
        <v>113</v>
      </c>
      <c r="H1370" s="42" t="s">
        <v>205</v>
      </c>
      <c r="I1370" s="42" t="s">
        <v>210</v>
      </c>
      <c r="J1370" s="43"/>
    </row>
    <row r="1371" spans="1:10" ht="12.75">
      <c r="A1371" s="42" t="s">
        <v>191</v>
      </c>
      <c r="B1371" s="89">
        <v>45982</v>
      </c>
      <c r="C1371" s="42"/>
      <c r="D1371" s="42"/>
      <c r="E1371" s="42"/>
      <c r="F1371" s="42"/>
      <c r="G1371" s="43"/>
      <c r="H1371" s="42" t="s">
        <v>192</v>
      </c>
      <c r="I1371" s="91" t="s">
        <v>154</v>
      </c>
      <c r="J1371" s="43"/>
    </row>
    <row r="1372" spans="1:10" ht="12.75">
      <c r="A1372" s="42"/>
      <c r="B1372" s="42"/>
      <c r="C1372" s="42"/>
      <c r="D1372" s="42"/>
      <c r="E1372" s="42"/>
      <c r="F1372" s="42"/>
      <c r="G1372" s="43"/>
      <c r="H1372" s="43"/>
      <c r="I1372" s="43"/>
      <c r="J1372" s="43"/>
    </row>
    <row r="1373" spans="1:10" ht="12.75">
      <c r="A1373" s="42"/>
      <c r="B1373" s="44" t="s">
        <v>193</v>
      </c>
      <c r="C1373" s="44" t="s">
        <v>194</v>
      </c>
      <c r="D1373" s="44" t="s">
        <v>195</v>
      </c>
      <c r="E1373" s="44" t="s">
        <v>196</v>
      </c>
      <c r="F1373" s="44" t="s">
        <v>197</v>
      </c>
      <c r="G1373" s="44" t="s">
        <v>198</v>
      </c>
      <c r="H1373" s="44" t="s">
        <v>199</v>
      </c>
      <c r="I1373" s="44" t="s">
        <v>200</v>
      </c>
      <c r="J1373" s="44" t="s">
        <v>199</v>
      </c>
    </row>
    <row r="1374" spans="1:10" ht="12.75">
      <c r="A1374" s="42"/>
      <c r="B1374" s="79"/>
      <c r="C1374" s="85"/>
      <c r="D1374" s="45"/>
      <c r="E1374" s="45"/>
      <c r="F1374" s="46"/>
      <c r="G1374" s="45"/>
      <c r="H1374" s="46"/>
      <c r="I1374" s="45"/>
      <c r="J1374" s="47"/>
    </row>
    <row r="1375" spans="1:10" ht="12.75">
      <c r="B1375" s="82">
        <v>1</v>
      </c>
      <c r="C1375" s="60" t="s">
        <v>209</v>
      </c>
      <c r="D1375" s="48" t="s">
        <v>202</v>
      </c>
      <c r="E1375" s="48"/>
      <c r="F1375" s="69">
        <v>45982</v>
      </c>
      <c r="G1375" s="48" t="s">
        <v>113</v>
      </c>
      <c r="H1375" s="49"/>
      <c r="I1375" s="48" t="s">
        <v>139</v>
      </c>
      <c r="J1375" s="49">
        <v>1428</v>
      </c>
    </row>
    <row r="1376" spans="1:10" ht="12.75">
      <c r="B1376" s="82"/>
      <c r="C1376" s="60"/>
      <c r="D1376" s="48"/>
      <c r="E1376" s="48"/>
      <c r="F1376" s="49"/>
      <c r="G1376" s="48"/>
      <c r="H1376" s="49"/>
      <c r="I1376" s="48"/>
      <c r="J1376" s="49"/>
    </row>
    <row r="1377" spans="1:10" ht="12.75">
      <c r="A1377" s="42"/>
      <c r="B1377" s="82"/>
      <c r="C1377" s="60"/>
      <c r="D1377" s="48"/>
      <c r="E1377" s="48"/>
      <c r="F1377" s="69"/>
      <c r="G1377" s="48"/>
      <c r="H1377" s="49"/>
      <c r="I1377" s="48" t="s">
        <v>113</v>
      </c>
      <c r="J1377" s="49" t="s">
        <v>113</v>
      </c>
    </row>
    <row r="1378" spans="1:10" ht="12.75">
      <c r="A1378" s="42"/>
      <c r="B1378" s="82"/>
      <c r="C1378" s="60"/>
      <c r="D1378" s="48"/>
      <c r="E1378" s="48"/>
      <c r="F1378" s="49"/>
      <c r="G1378" s="48"/>
      <c r="H1378" s="49"/>
      <c r="I1378" s="48"/>
      <c r="J1378" s="49"/>
    </row>
    <row r="1379" spans="1:10" ht="12.75">
      <c r="B1379" s="82"/>
      <c r="C1379" s="60"/>
      <c r="D1379" s="48"/>
      <c r="E1379" s="48"/>
      <c r="F1379" s="69"/>
      <c r="G1379" s="48"/>
      <c r="H1379" s="49"/>
      <c r="I1379" s="48"/>
      <c r="J1379" s="49"/>
    </row>
    <row r="1380" spans="1:10" ht="12.75">
      <c r="B1380" s="82"/>
      <c r="C1380" s="60"/>
      <c r="D1380" s="48"/>
      <c r="E1380" s="48"/>
      <c r="F1380" s="49"/>
      <c r="G1380" s="48"/>
      <c r="H1380" s="49"/>
      <c r="I1380" s="48"/>
      <c r="J1380" s="49"/>
    </row>
    <row r="1381" spans="1:10" ht="12.75">
      <c r="A1381" s="42"/>
      <c r="B1381" s="82"/>
      <c r="C1381" s="60"/>
      <c r="D1381" s="48"/>
      <c r="E1381" s="48"/>
      <c r="F1381" s="69"/>
      <c r="G1381" s="48"/>
      <c r="H1381" s="49"/>
      <c r="I1381" s="48"/>
      <c r="J1381" s="49"/>
    </row>
    <row r="1382" spans="1:10" ht="12.75">
      <c r="A1382" s="42"/>
      <c r="B1382" s="80"/>
      <c r="C1382" s="86"/>
      <c r="D1382" s="48"/>
      <c r="E1382" s="48"/>
      <c r="F1382" s="49"/>
      <c r="G1382" s="48"/>
      <c r="H1382" s="49"/>
      <c r="I1382" s="48"/>
      <c r="J1382" s="49"/>
    </row>
    <row r="1383" spans="1:10" ht="12.75">
      <c r="B1383" s="80"/>
      <c r="C1383" s="60"/>
      <c r="D1383" s="48"/>
      <c r="E1383" s="48"/>
      <c r="F1383" s="69"/>
      <c r="G1383" s="48"/>
      <c r="H1383" s="49"/>
      <c r="I1383" s="48"/>
      <c r="J1383" s="49"/>
    </row>
    <row r="1384" spans="1:10" ht="12.75">
      <c r="A1384" s="42"/>
      <c r="B1384" s="80"/>
      <c r="C1384" s="86"/>
      <c r="D1384" s="48"/>
      <c r="E1384" s="48"/>
      <c r="F1384" s="49"/>
      <c r="G1384" s="48"/>
      <c r="H1384" s="49"/>
      <c r="I1384" s="48"/>
      <c r="J1384" s="49"/>
    </row>
    <row r="1385" spans="1:10" ht="12.75">
      <c r="A1385" s="42"/>
      <c r="B1385" s="80"/>
      <c r="C1385" s="60"/>
      <c r="D1385" s="48"/>
      <c r="E1385" s="48"/>
      <c r="F1385" s="69"/>
      <c r="G1385" s="48"/>
      <c r="H1385" s="49"/>
      <c r="I1385" s="48"/>
      <c r="J1385" s="49"/>
    </row>
    <row r="1386" spans="1:10" ht="12.75">
      <c r="A1386" s="42"/>
      <c r="B1386" s="80"/>
      <c r="C1386" s="86"/>
      <c r="D1386" s="48"/>
      <c r="E1386" s="48"/>
      <c r="F1386" s="49"/>
      <c r="G1386" s="48"/>
      <c r="H1386" s="49"/>
      <c r="I1386" s="48"/>
      <c r="J1386" s="49"/>
    </row>
    <row r="1387" spans="1:10" ht="12.75">
      <c r="A1387" s="42"/>
      <c r="B1387" s="80"/>
      <c r="C1387" s="86"/>
      <c r="D1387" s="48"/>
      <c r="E1387" s="48"/>
      <c r="F1387" s="49"/>
      <c r="G1387" s="48"/>
      <c r="H1387" s="49"/>
      <c r="I1387" s="48"/>
      <c r="J1387" s="49"/>
    </row>
    <row r="1388" spans="1:10" ht="12.75">
      <c r="A1388" s="42"/>
      <c r="B1388" s="80"/>
      <c r="C1388" s="86"/>
      <c r="D1388" s="48"/>
      <c r="E1388" s="48"/>
      <c r="F1388" s="49"/>
      <c r="G1388" s="48"/>
      <c r="H1388" s="49"/>
      <c r="I1388" s="48"/>
      <c r="J1388" s="49"/>
    </row>
    <row r="1389" spans="1:10" ht="12.75">
      <c r="A1389" s="42"/>
      <c r="B1389" s="80"/>
      <c r="C1389" s="86"/>
      <c r="D1389" s="48"/>
      <c r="E1389" s="48"/>
      <c r="F1389" s="49"/>
      <c r="G1389" s="48"/>
      <c r="H1389" s="49"/>
      <c r="I1389" s="48"/>
      <c r="J1389" s="49"/>
    </row>
    <row r="1390" spans="1:10" ht="12.75">
      <c r="A1390" s="42"/>
      <c r="B1390" s="80"/>
      <c r="C1390" s="86"/>
      <c r="D1390" s="48"/>
      <c r="E1390" s="48"/>
      <c r="F1390" s="49"/>
      <c r="G1390" s="48"/>
      <c r="H1390" s="49"/>
      <c r="I1390" s="48"/>
      <c r="J1390" s="49"/>
    </row>
    <row r="1391" spans="1:10" ht="12.75">
      <c r="A1391" s="42"/>
      <c r="B1391" s="80"/>
      <c r="C1391" s="86"/>
      <c r="D1391" s="48"/>
      <c r="E1391" s="48"/>
      <c r="F1391" s="49"/>
      <c r="G1391" s="48"/>
      <c r="H1391" s="49"/>
      <c r="I1391" s="48"/>
      <c r="J1391" s="49"/>
    </row>
    <row r="1392" spans="1:10" ht="12.75">
      <c r="A1392" s="42"/>
      <c r="B1392" s="80"/>
      <c r="C1392" s="86"/>
      <c r="D1392" s="48"/>
      <c r="E1392" s="48"/>
      <c r="F1392" s="49"/>
      <c r="G1392" s="48"/>
      <c r="H1392" s="49"/>
      <c r="I1392" s="48"/>
      <c r="J1392" s="49"/>
    </row>
    <row r="1393" spans="1:10" ht="12.75">
      <c r="A1393" s="42"/>
      <c r="B1393" s="80"/>
      <c r="C1393" s="86"/>
      <c r="D1393" s="48"/>
      <c r="E1393" s="48"/>
      <c r="F1393" s="49"/>
      <c r="G1393" s="48"/>
      <c r="H1393" s="49"/>
      <c r="I1393" s="48"/>
      <c r="J1393" s="49"/>
    </row>
    <row r="1394" spans="1:10" ht="12.75">
      <c r="A1394" s="42"/>
      <c r="B1394" s="80"/>
      <c r="C1394" s="86"/>
      <c r="D1394" s="48"/>
      <c r="E1394" s="48"/>
      <c r="F1394" s="49"/>
      <c r="G1394" s="48"/>
      <c r="H1394" s="49"/>
      <c r="I1394" s="48"/>
      <c r="J1394" s="49"/>
    </row>
    <row r="1395" spans="1:10" ht="12.75">
      <c r="A1395" s="42"/>
      <c r="B1395" s="80"/>
      <c r="C1395" s="86"/>
      <c r="D1395" s="48"/>
      <c r="E1395" s="48"/>
      <c r="F1395" s="49"/>
      <c r="G1395" s="48"/>
      <c r="H1395" s="49"/>
      <c r="I1395" s="48"/>
      <c r="J1395" s="49"/>
    </row>
    <row r="1396" spans="1:10" ht="12.75">
      <c r="A1396" s="42"/>
      <c r="B1396" s="80"/>
      <c r="C1396" s="86"/>
      <c r="D1396" s="48"/>
      <c r="E1396" s="48"/>
      <c r="F1396" s="49"/>
      <c r="G1396" s="48"/>
      <c r="H1396" s="49"/>
      <c r="I1396" s="48"/>
      <c r="J1396" s="49"/>
    </row>
    <row r="1397" spans="1:10" ht="12.75">
      <c r="A1397" s="42"/>
      <c r="B1397" s="80"/>
      <c r="C1397" s="86"/>
      <c r="D1397" s="48"/>
      <c r="E1397" s="48"/>
      <c r="F1397" s="49"/>
      <c r="G1397" s="48"/>
      <c r="H1397" s="49"/>
      <c r="I1397" s="48"/>
      <c r="J1397" s="49"/>
    </row>
    <row r="1398" spans="1:10" ht="12.75">
      <c r="A1398" s="42"/>
      <c r="B1398" s="80"/>
      <c r="C1398" s="86"/>
      <c r="D1398" s="48"/>
      <c r="E1398" s="48"/>
      <c r="F1398" s="49"/>
      <c r="G1398" s="48"/>
      <c r="H1398" s="49"/>
      <c r="I1398" s="48"/>
      <c r="J1398" s="49"/>
    </row>
    <row r="1399" spans="1:10" ht="12.75">
      <c r="A1399" s="42"/>
      <c r="B1399" s="80"/>
      <c r="C1399" s="86"/>
      <c r="D1399" s="48"/>
      <c r="E1399" s="48"/>
      <c r="F1399" s="49"/>
      <c r="G1399" s="48"/>
      <c r="H1399" s="49"/>
      <c r="I1399" s="48"/>
      <c r="J1399" s="49"/>
    </row>
    <row r="1400" spans="1:10" ht="12.75">
      <c r="A1400" s="42"/>
      <c r="B1400" s="80"/>
      <c r="C1400" s="86"/>
      <c r="D1400" s="48"/>
      <c r="E1400" s="48"/>
      <c r="F1400" s="49"/>
      <c r="G1400" s="48"/>
      <c r="H1400" s="49"/>
      <c r="I1400" s="48"/>
      <c r="J1400" s="49"/>
    </row>
    <row r="1401" spans="1:10" ht="12.75">
      <c r="A1401" s="42" t="s">
        <v>207</v>
      </c>
      <c r="B1401" s="80"/>
      <c r="C1401" s="86"/>
      <c r="D1401" s="48"/>
      <c r="E1401" s="48"/>
      <c r="F1401" s="49"/>
      <c r="G1401" s="48"/>
      <c r="H1401" s="49">
        <f>SUM(H1375:H1400)</f>
        <v>0</v>
      </c>
      <c r="I1401" s="48"/>
      <c r="J1401" s="49">
        <f>SUM(J1375:J1400)</f>
        <v>1428</v>
      </c>
    </row>
    <row r="1402" spans="1:10" ht="12.75">
      <c r="A1402" s="43"/>
      <c r="B1402" s="80"/>
      <c r="C1402" s="86"/>
      <c r="D1402" s="48"/>
      <c r="E1402" s="48"/>
      <c r="F1402" s="49"/>
      <c r="G1402" s="48"/>
      <c r="H1402" s="49"/>
      <c r="I1402" s="48"/>
      <c r="J1402" s="49"/>
    </row>
    <row r="1403" spans="1:10" ht="12.75">
      <c r="A1403" s="43"/>
      <c r="B1403" s="84"/>
      <c r="C1403" s="88"/>
      <c r="D1403" s="54"/>
      <c r="E1403" s="54"/>
      <c r="F1403" s="55"/>
      <c r="G1403" s="54"/>
      <c r="H1403" s="55"/>
      <c r="I1403" s="54"/>
      <c r="J1403" s="55"/>
    </row>
    <row r="1404" spans="1:10" ht="12.75"/>
    <row r="1405" spans="1:10" ht="12.75"/>
    <row r="1406" spans="1:10" ht="12.75">
      <c r="A1406" s="41" t="s">
        <v>187</v>
      </c>
      <c r="B1406" s="41"/>
      <c r="C1406" s="41"/>
      <c r="D1406" s="41"/>
      <c r="E1406" s="41"/>
      <c r="F1406" s="41"/>
    </row>
    <row r="1407" spans="1:10" ht="12.75">
      <c r="F1407" s="68" t="s">
        <v>113</v>
      </c>
    </row>
    <row r="1408" spans="1:10" ht="12.75"/>
    <row r="1409" spans="1:10" ht="12.75">
      <c r="A1409" s="42" t="s">
        <v>188</v>
      </c>
      <c r="B1409" s="42" t="s">
        <v>189</v>
      </c>
      <c r="C1409" s="42"/>
      <c r="D1409" s="42"/>
      <c r="E1409" s="42"/>
      <c r="F1409" s="42"/>
      <c r="G1409" s="43" t="s">
        <v>113</v>
      </c>
      <c r="H1409" s="42" t="s">
        <v>175</v>
      </c>
      <c r="I1409" s="90" t="s">
        <v>190</v>
      </c>
      <c r="J1409" s="43"/>
    </row>
    <row r="1410" spans="1:10" ht="12.75">
      <c r="A1410" s="42" t="s">
        <v>191</v>
      </c>
      <c r="B1410" s="89">
        <v>45987</v>
      </c>
      <c r="C1410" s="42"/>
      <c r="D1410" s="42"/>
      <c r="E1410" s="42"/>
      <c r="F1410" s="42"/>
      <c r="G1410" s="43"/>
      <c r="H1410" s="42" t="s">
        <v>192</v>
      </c>
      <c r="I1410" s="91" t="s">
        <v>109</v>
      </c>
      <c r="J1410" s="43"/>
    </row>
    <row r="1411" spans="1:10" ht="12.75">
      <c r="A1411" s="42"/>
      <c r="B1411" s="42"/>
      <c r="C1411" s="42"/>
      <c r="D1411" s="42"/>
      <c r="E1411" s="42"/>
      <c r="F1411" s="42"/>
      <c r="G1411" s="43"/>
      <c r="H1411" s="43"/>
      <c r="I1411" s="43"/>
      <c r="J1411" s="43"/>
    </row>
    <row r="1412" spans="1:10" ht="12.75">
      <c r="A1412" s="42"/>
      <c r="B1412" s="44" t="s">
        <v>193</v>
      </c>
      <c r="C1412" s="44" t="s">
        <v>194</v>
      </c>
      <c r="D1412" s="44" t="s">
        <v>195</v>
      </c>
      <c r="E1412" s="44" t="s">
        <v>196</v>
      </c>
      <c r="F1412" s="44" t="s">
        <v>197</v>
      </c>
      <c r="G1412" s="44" t="s">
        <v>198</v>
      </c>
      <c r="H1412" s="44" t="s">
        <v>199</v>
      </c>
      <c r="I1412" s="44" t="s">
        <v>200</v>
      </c>
      <c r="J1412" s="44" t="s">
        <v>199</v>
      </c>
    </row>
    <row r="1413" spans="1:10" ht="12.75">
      <c r="A1413" s="42"/>
      <c r="B1413" s="79"/>
      <c r="C1413" s="85"/>
      <c r="D1413" s="45"/>
      <c r="E1413" s="45"/>
      <c r="F1413" s="46"/>
      <c r="G1413" s="45"/>
      <c r="H1413" s="46"/>
      <c r="I1413" s="45"/>
      <c r="J1413" s="47"/>
    </row>
    <row r="1414" spans="1:10" ht="12.75">
      <c r="B1414" s="80">
        <v>1</v>
      </c>
      <c r="C1414" s="86" t="s">
        <v>201</v>
      </c>
      <c r="D1414" s="48" t="s">
        <v>202</v>
      </c>
      <c r="E1414" s="48"/>
      <c r="F1414" s="69">
        <v>45987</v>
      </c>
      <c r="G1414" s="48" t="s">
        <v>125</v>
      </c>
      <c r="H1414" s="49">
        <v>1000</v>
      </c>
      <c r="I1414" s="48" t="s">
        <v>113</v>
      </c>
      <c r="J1414" s="49" t="s">
        <v>113</v>
      </c>
    </row>
    <row r="1415" spans="1:10" ht="12.75">
      <c r="A1415" s="42"/>
      <c r="B1415" s="80"/>
      <c r="C1415" s="86"/>
      <c r="D1415" s="48"/>
      <c r="E1415" s="48"/>
      <c r="F1415" s="49"/>
      <c r="G1415" s="48"/>
      <c r="H1415" s="49"/>
      <c r="I1415" s="48"/>
      <c r="J1415" s="49"/>
    </row>
    <row r="1416" spans="1:10" ht="12.75">
      <c r="B1416" s="81"/>
      <c r="C1416" s="59"/>
      <c r="D1416" s="48"/>
      <c r="E1416" s="48"/>
      <c r="F1416" s="69"/>
      <c r="G1416" s="48"/>
      <c r="H1416" s="49"/>
      <c r="I1416" s="48"/>
      <c r="J1416" s="49"/>
    </row>
    <row r="1417" spans="1:10" ht="12.75">
      <c r="B1417" s="81"/>
      <c r="C1417" s="59"/>
      <c r="D1417" s="48"/>
      <c r="E1417" s="48"/>
      <c r="F1417" s="49"/>
      <c r="G1417" s="48"/>
      <c r="H1417" s="49"/>
      <c r="I1417" s="48"/>
      <c r="J1417" s="49"/>
    </row>
    <row r="1418" spans="1:10" ht="12.75">
      <c r="A1418" s="42"/>
      <c r="B1418" s="81"/>
      <c r="C1418" s="104"/>
      <c r="D1418" s="48"/>
      <c r="E1418" s="48"/>
      <c r="F1418" s="69"/>
      <c r="G1418" s="48"/>
      <c r="H1418" s="49"/>
      <c r="I1418" s="48"/>
      <c r="J1418" s="49"/>
    </row>
    <row r="1419" spans="1:10" ht="12.75">
      <c r="A1419" s="42"/>
      <c r="B1419" s="81"/>
      <c r="C1419" s="59"/>
      <c r="D1419" s="48"/>
      <c r="E1419" s="48"/>
      <c r="F1419" s="49"/>
      <c r="G1419" s="48"/>
      <c r="H1419" s="49"/>
      <c r="I1419" s="48"/>
      <c r="J1419" s="49"/>
    </row>
    <row r="1420" spans="1:10" ht="12.75">
      <c r="A1420" s="42"/>
      <c r="B1420" s="82"/>
      <c r="C1420" s="60"/>
      <c r="D1420" s="48"/>
      <c r="E1420" s="48"/>
      <c r="F1420" s="69"/>
      <c r="G1420" s="48"/>
      <c r="H1420" s="49"/>
      <c r="I1420" s="48"/>
      <c r="J1420" s="49"/>
    </row>
    <row r="1421" spans="1:10" ht="12.75">
      <c r="B1421" s="80"/>
      <c r="C1421" s="86"/>
      <c r="D1421" s="48"/>
      <c r="E1421" s="48"/>
      <c r="F1421" s="49"/>
      <c r="G1421" s="48"/>
      <c r="H1421" s="49"/>
      <c r="I1421" s="48"/>
      <c r="J1421" s="49"/>
    </row>
    <row r="1422" spans="1:10" ht="12.75">
      <c r="A1422" s="42"/>
      <c r="B1422" s="80"/>
      <c r="C1422" s="86"/>
      <c r="D1422" s="48"/>
      <c r="E1422" s="48"/>
      <c r="F1422" s="49"/>
      <c r="G1422" s="48"/>
      <c r="H1422" s="49"/>
      <c r="I1422" s="48"/>
      <c r="J1422" s="49"/>
    </row>
    <row r="1423" spans="1:10" ht="12.75">
      <c r="A1423" s="42"/>
      <c r="B1423" s="80"/>
      <c r="C1423" s="86"/>
      <c r="D1423" s="48"/>
      <c r="E1423" s="48"/>
      <c r="F1423" s="49"/>
      <c r="G1423" s="48"/>
      <c r="H1423" s="49"/>
      <c r="I1423" s="48"/>
      <c r="J1423" s="49"/>
    </row>
    <row r="1424" spans="1:10" ht="12.75">
      <c r="A1424" s="42"/>
      <c r="B1424" s="80"/>
      <c r="C1424" s="86"/>
      <c r="D1424" s="48"/>
      <c r="E1424" s="48"/>
      <c r="F1424" s="49"/>
      <c r="G1424" s="48"/>
      <c r="H1424" s="49"/>
      <c r="I1424" s="48"/>
      <c r="J1424" s="49"/>
    </row>
    <row r="1425" spans="1:11" ht="12.75">
      <c r="A1425" s="42"/>
      <c r="B1425" s="80"/>
      <c r="C1425" s="86"/>
      <c r="D1425" s="48"/>
      <c r="E1425" s="48"/>
      <c r="F1425" s="49"/>
      <c r="G1425" s="48"/>
      <c r="H1425" s="49"/>
      <c r="I1425" s="48"/>
      <c r="J1425" s="49"/>
    </row>
    <row r="1426" spans="1:11" ht="12.75">
      <c r="A1426" s="42"/>
      <c r="B1426" s="80"/>
      <c r="C1426" s="86"/>
      <c r="D1426" s="48"/>
      <c r="E1426" s="48"/>
      <c r="F1426" s="49"/>
      <c r="G1426" s="48"/>
      <c r="H1426" s="49"/>
      <c r="I1426" s="48"/>
      <c r="J1426" s="49"/>
    </row>
    <row r="1427" spans="1:11" ht="12.75">
      <c r="A1427" s="50"/>
      <c r="B1427" s="83"/>
      <c r="C1427" s="87"/>
      <c r="D1427" s="51"/>
      <c r="E1427" s="51"/>
      <c r="F1427" s="52"/>
      <c r="G1427" s="51"/>
      <c r="H1427" s="52"/>
      <c r="I1427" s="51"/>
      <c r="J1427" s="52"/>
      <c r="K1427" s="53"/>
    </row>
    <row r="1428" spans="1:11" ht="12.75">
      <c r="A1428" s="42"/>
      <c r="B1428" s="80"/>
      <c r="C1428" s="86"/>
      <c r="D1428" s="48"/>
      <c r="E1428" s="48"/>
      <c r="F1428" s="49"/>
      <c r="G1428" s="48"/>
      <c r="H1428" s="49"/>
      <c r="I1428" s="48"/>
      <c r="J1428" s="49"/>
    </row>
    <row r="1429" spans="1:11" ht="12.75">
      <c r="A1429" s="42"/>
      <c r="B1429" s="80"/>
      <c r="C1429" s="86"/>
      <c r="D1429" s="48"/>
      <c r="E1429" s="48"/>
      <c r="F1429" s="49"/>
      <c r="G1429" s="48"/>
      <c r="H1429" s="49"/>
      <c r="I1429" s="48"/>
      <c r="J1429" s="49"/>
    </row>
    <row r="1430" spans="1:11" ht="12.75">
      <c r="A1430" s="42"/>
      <c r="B1430" s="80"/>
      <c r="C1430" s="86"/>
      <c r="D1430" s="48"/>
      <c r="E1430" s="48"/>
      <c r="F1430" s="49"/>
      <c r="G1430" s="48"/>
      <c r="H1430" s="49"/>
      <c r="I1430" s="48"/>
      <c r="J1430" s="49"/>
    </row>
    <row r="1431" spans="1:11" ht="12.75">
      <c r="A1431" s="42"/>
      <c r="B1431" s="80"/>
      <c r="C1431" s="86"/>
      <c r="D1431" s="48"/>
      <c r="E1431" s="48"/>
      <c r="F1431" s="49"/>
      <c r="G1431" s="48"/>
      <c r="H1431" s="49"/>
      <c r="I1431" s="48"/>
      <c r="J1431" s="49"/>
    </row>
    <row r="1432" spans="1:11" ht="12.75">
      <c r="A1432" s="42"/>
      <c r="B1432" s="80"/>
      <c r="C1432" s="86"/>
      <c r="D1432" s="48"/>
      <c r="E1432" s="48"/>
      <c r="F1432" s="49"/>
      <c r="G1432" s="48"/>
      <c r="H1432" s="49"/>
      <c r="I1432" s="48"/>
      <c r="J1432" s="49"/>
    </row>
    <row r="1433" spans="1:11" ht="12.75">
      <c r="A1433" s="42"/>
      <c r="B1433" s="80"/>
      <c r="C1433" s="86"/>
      <c r="D1433" s="48"/>
      <c r="E1433" s="48"/>
      <c r="F1433" s="49"/>
      <c r="G1433" s="48"/>
      <c r="H1433" s="49"/>
      <c r="I1433" s="48"/>
      <c r="J1433" s="49"/>
    </row>
    <row r="1434" spans="1:11" ht="12.75">
      <c r="A1434" s="42"/>
      <c r="B1434" s="80"/>
      <c r="C1434" s="86"/>
      <c r="D1434" s="48"/>
      <c r="E1434" s="48"/>
      <c r="F1434" s="49"/>
      <c r="G1434" s="48"/>
      <c r="H1434" s="49"/>
      <c r="I1434" s="48"/>
      <c r="J1434" s="49"/>
    </row>
    <row r="1435" spans="1:11" ht="12.75">
      <c r="A1435" s="42"/>
      <c r="B1435" s="80"/>
      <c r="C1435" s="86"/>
      <c r="D1435" s="48"/>
      <c r="E1435" s="48"/>
      <c r="F1435" s="49"/>
      <c r="G1435" s="48"/>
      <c r="H1435" s="49"/>
      <c r="I1435" s="48"/>
      <c r="J1435" s="49"/>
    </row>
    <row r="1436" spans="1:11" ht="12.75">
      <c r="A1436" s="42"/>
      <c r="B1436" s="80"/>
      <c r="C1436" s="86"/>
      <c r="D1436" s="48"/>
      <c r="E1436" s="48"/>
      <c r="F1436" s="49"/>
      <c r="G1436" s="48"/>
      <c r="H1436" s="49"/>
      <c r="I1436" s="48"/>
      <c r="J1436" s="49"/>
    </row>
    <row r="1437" spans="1:11" ht="12.75">
      <c r="A1437" s="42"/>
      <c r="B1437" s="80"/>
      <c r="C1437" s="86"/>
      <c r="D1437" s="48"/>
      <c r="E1437" s="48"/>
      <c r="F1437" s="49"/>
      <c r="G1437" s="48"/>
      <c r="H1437" s="49"/>
      <c r="I1437" s="48"/>
      <c r="J1437" s="49"/>
    </row>
    <row r="1438" spans="1:11" ht="12.75">
      <c r="A1438" s="42"/>
      <c r="B1438" s="80"/>
      <c r="C1438" s="86"/>
      <c r="D1438" s="48"/>
      <c r="E1438" s="48"/>
      <c r="F1438" s="49"/>
      <c r="G1438" s="48"/>
      <c r="H1438" s="49"/>
      <c r="I1438" s="48"/>
      <c r="J1438" s="49"/>
    </row>
    <row r="1439" spans="1:11" ht="12.75">
      <c r="A1439" s="42"/>
      <c r="B1439" s="80"/>
      <c r="C1439" s="86"/>
      <c r="D1439" s="48"/>
      <c r="E1439" s="48"/>
      <c r="F1439" s="49"/>
      <c r="G1439" s="48"/>
      <c r="H1439" s="49"/>
      <c r="I1439" s="48"/>
      <c r="J1439" s="49"/>
    </row>
    <row r="1440" spans="1:11" ht="12.75">
      <c r="A1440" s="42"/>
      <c r="B1440" s="80"/>
      <c r="C1440" s="86"/>
      <c r="D1440" s="48"/>
      <c r="E1440" s="48"/>
      <c r="F1440" s="49"/>
      <c r="G1440" s="48"/>
      <c r="H1440" s="49"/>
      <c r="I1440" s="48"/>
      <c r="J1440" s="49"/>
    </row>
    <row r="1441" spans="1:10" ht="12.75">
      <c r="A1441" s="42"/>
      <c r="B1441" s="80"/>
      <c r="C1441" s="86"/>
      <c r="D1441" s="48"/>
      <c r="E1441" s="48"/>
      <c r="F1441" s="49"/>
      <c r="G1441" s="48"/>
      <c r="H1441" s="49"/>
      <c r="I1441" s="48"/>
      <c r="J1441" s="49"/>
    </row>
    <row r="1442" spans="1:10" ht="12.75">
      <c r="A1442" s="42"/>
      <c r="B1442" s="80"/>
      <c r="C1442" s="86"/>
      <c r="D1442" s="48"/>
      <c r="E1442" s="48"/>
      <c r="F1442" s="49"/>
      <c r="G1442" s="48"/>
      <c r="H1442" s="49"/>
      <c r="I1442" s="48"/>
      <c r="J1442" s="49"/>
    </row>
    <row r="1443" spans="1:10" ht="12.75">
      <c r="A1443" s="42" t="s">
        <v>203</v>
      </c>
      <c r="B1443" s="80"/>
      <c r="C1443" s="86"/>
      <c r="D1443" s="48"/>
      <c r="E1443" s="48"/>
      <c r="F1443" s="49"/>
      <c r="G1443" s="48"/>
      <c r="H1443" s="49">
        <f>SUM(H1414:H1442)</f>
        <v>1000</v>
      </c>
      <c r="I1443" s="48"/>
      <c r="J1443" s="49">
        <f>SUM(J1414:J1441)</f>
        <v>0</v>
      </c>
    </row>
    <row r="1444" spans="1:10" ht="12.75">
      <c r="A1444" s="43"/>
      <c r="B1444" s="80"/>
      <c r="C1444" s="86"/>
      <c r="D1444" s="48"/>
      <c r="E1444" s="48"/>
      <c r="F1444" s="49"/>
      <c r="G1444" s="48"/>
      <c r="H1444" s="49"/>
      <c r="I1444" s="48"/>
      <c r="J1444" s="49"/>
    </row>
    <row r="1445" spans="1:10" ht="12.75">
      <c r="A1445" s="43"/>
      <c r="B1445" s="84"/>
      <c r="C1445" s="88"/>
      <c r="D1445" s="54"/>
      <c r="E1445" s="54"/>
      <c r="F1445" s="55"/>
      <c r="G1445" s="54"/>
      <c r="H1445" s="55"/>
      <c r="I1445" s="54"/>
      <c r="J1445" s="55"/>
    </row>
    <row r="1446" spans="1:10" ht="12.75"/>
    <row r="1447" spans="1:10" ht="12.75"/>
    <row r="1448" spans="1:10" ht="12.75">
      <c r="A1448" s="41" t="s">
        <v>204</v>
      </c>
      <c r="B1448" s="41"/>
      <c r="C1448" s="41"/>
      <c r="D1448" s="41"/>
      <c r="E1448" s="41"/>
      <c r="F1448" s="41"/>
    </row>
    <row r="1449" spans="1:10" ht="12.75"/>
    <row r="1450" spans="1:10" ht="12.75"/>
    <row r="1451" spans="1:10" ht="12.75">
      <c r="A1451" s="42" t="s">
        <v>188</v>
      </c>
      <c r="B1451" s="42" t="s">
        <v>189</v>
      </c>
      <c r="C1451" s="42"/>
      <c r="D1451" s="42"/>
      <c r="E1451" s="42"/>
      <c r="F1451" s="42"/>
      <c r="G1451" s="43" t="s">
        <v>113</v>
      </c>
      <c r="H1451" s="42" t="s">
        <v>205</v>
      </c>
      <c r="I1451" s="42" t="s">
        <v>208</v>
      </c>
      <c r="J1451" s="43"/>
    </row>
    <row r="1452" spans="1:10" ht="12.75">
      <c r="A1452" s="42" t="s">
        <v>191</v>
      </c>
      <c r="B1452" s="89">
        <v>45987</v>
      </c>
      <c r="C1452" s="42"/>
      <c r="D1452" s="42"/>
      <c r="E1452" s="42"/>
      <c r="F1452" s="42"/>
      <c r="G1452" s="43"/>
      <c r="H1452" s="42" t="s">
        <v>192</v>
      </c>
      <c r="I1452" s="91" t="s">
        <v>137</v>
      </c>
      <c r="J1452" s="43"/>
    </row>
    <row r="1453" spans="1:10" ht="12.75">
      <c r="A1453" s="42"/>
      <c r="B1453" s="42"/>
      <c r="C1453" s="42"/>
      <c r="D1453" s="42"/>
      <c r="E1453" s="42"/>
      <c r="F1453" s="42"/>
      <c r="G1453" s="43"/>
      <c r="H1453" s="43"/>
      <c r="I1453" s="43"/>
      <c r="J1453" s="43"/>
    </row>
    <row r="1454" spans="1:10" ht="12.75">
      <c r="A1454" s="42"/>
      <c r="B1454" s="44" t="s">
        <v>193</v>
      </c>
      <c r="C1454" s="44" t="s">
        <v>194</v>
      </c>
      <c r="D1454" s="44" t="s">
        <v>195</v>
      </c>
      <c r="E1454" s="44" t="s">
        <v>196</v>
      </c>
      <c r="F1454" s="44" t="s">
        <v>197</v>
      </c>
      <c r="G1454" s="44" t="s">
        <v>198</v>
      </c>
      <c r="H1454" s="44" t="s">
        <v>199</v>
      </c>
      <c r="I1454" s="44" t="s">
        <v>200</v>
      </c>
      <c r="J1454" s="44" t="s">
        <v>199</v>
      </c>
    </row>
    <row r="1455" spans="1:10" ht="12.75">
      <c r="A1455" s="42"/>
      <c r="B1455" s="79"/>
      <c r="C1455" s="85"/>
      <c r="D1455" s="45"/>
      <c r="E1455" s="45"/>
      <c r="F1455" s="46"/>
      <c r="G1455" s="45"/>
      <c r="H1455" s="46"/>
      <c r="I1455" s="45"/>
      <c r="J1455" s="47"/>
    </row>
    <row r="1456" spans="1:10" ht="12.75">
      <c r="B1456" s="82">
        <v>1</v>
      </c>
      <c r="C1456" s="60" t="s">
        <v>209</v>
      </c>
      <c r="D1456" s="48" t="s">
        <v>202</v>
      </c>
      <c r="E1456" s="48"/>
      <c r="F1456" s="69">
        <v>45987</v>
      </c>
      <c r="G1456" s="48" t="s">
        <v>113</v>
      </c>
      <c r="H1456" s="49"/>
      <c r="I1456" s="48" t="s">
        <v>139</v>
      </c>
      <c r="J1456" s="49">
        <v>1000</v>
      </c>
    </row>
    <row r="1457" spans="1:10" ht="12.75">
      <c r="B1457" s="82"/>
      <c r="C1457" s="60"/>
      <c r="D1457" s="48"/>
      <c r="E1457" s="48"/>
      <c r="F1457" s="49"/>
      <c r="G1457" s="48"/>
      <c r="H1457" s="49"/>
      <c r="I1457" s="48"/>
      <c r="J1457" s="49"/>
    </row>
    <row r="1458" spans="1:10" ht="12.75">
      <c r="A1458" s="42"/>
      <c r="B1458" s="82"/>
      <c r="C1458" s="60"/>
      <c r="D1458" s="48"/>
      <c r="E1458" s="48"/>
      <c r="F1458" s="69"/>
      <c r="G1458" s="48"/>
      <c r="H1458" s="49"/>
      <c r="I1458" s="48"/>
      <c r="J1458" s="49"/>
    </row>
    <row r="1459" spans="1:10" ht="12.75">
      <c r="A1459" s="42"/>
      <c r="B1459" s="82"/>
      <c r="C1459" s="60"/>
      <c r="D1459" s="48"/>
      <c r="E1459" s="48"/>
      <c r="F1459" s="49"/>
      <c r="G1459" s="48"/>
      <c r="H1459" s="49"/>
      <c r="I1459" s="48"/>
      <c r="J1459" s="49"/>
    </row>
    <row r="1460" spans="1:10" ht="12.75">
      <c r="B1460" s="82"/>
      <c r="C1460" s="60"/>
      <c r="D1460" s="48"/>
      <c r="E1460" s="48"/>
      <c r="F1460" s="69"/>
      <c r="G1460" s="48"/>
      <c r="H1460" s="49"/>
      <c r="I1460" s="48"/>
      <c r="J1460" s="49"/>
    </row>
    <row r="1461" spans="1:10" ht="12.75">
      <c r="B1461" s="82"/>
      <c r="C1461" s="60"/>
      <c r="D1461" s="48"/>
      <c r="E1461" s="48"/>
      <c r="F1461" s="49"/>
      <c r="G1461" s="48"/>
      <c r="H1461" s="49"/>
      <c r="I1461" s="48"/>
      <c r="J1461" s="49"/>
    </row>
    <row r="1462" spans="1:10" ht="12.75">
      <c r="A1462" s="42"/>
      <c r="B1462" s="82"/>
      <c r="C1462" s="60"/>
      <c r="D1462" s="48"/>
      <c r="E1462" s="48"/>
      <c r="F1462" s="69"/>
      <c r="G1462" s="48"/>
      <c r="H1462" s="49"/>
      <c r="I1462" s="48"/>
      <c r="J1462" s="49"/>
    </row>
    <row r="1463" spans="1:10" ht="12.75">
      <c r="A1463" s="42"/>
      <c r="B1463" s="80"/>
      <c r="C1463" s="86"/>
      <c r="D1463" s="48"/>
      <c r="E1463" s="48"/>
      <c r="F1463" s="49"/>
      <c r="G1463" s="48"/>
      <c r="H1463" s="49"/>
      <c r="I1463" s="48"/>
      <c r="J1463" s="49"/>
    </row>
    <row r="1464" spans="1:10" ht="12.75">
      <c r="B1464" s="80"/>
      <c r="C1464" s="60"/>
      <c r="D1464" s="48"/>
      <c r="E1464" s="48"/>
      <c r="F1464" s="69"/>
      <c r="G1464" s="48"/>
      <c r="H1464" s="49"/>
      <c r="I1464" s="48"/>
      <c r="J1464" s="49"/>
    </row>
    <row r="1465" spans="1:10" ht="12.75">
      <c r="A1465" s="42"/>
      <c r="B1465" s="80"/>
      <c r="C1465" s="86"/>
      <c r="D1465" s="48"/>
      <c r="E1465" s="48"/>
      <c r="F1465" s="49"/>
      <c r="G1465" s="48"/>
      <c r="H1465" s="49"/>
      <c r="I1465" s="48"/>
      <c r="J1465" s="49"/>
    </row>
    <row r="1466" spans="1:10" ht="12.75">
      <c r="A1466" s="42"/>
      <c r="B1466" s="80"/>
      <c r="C1466" s="60"/>
      <c r="D1466" s="48"/>
      <c r="E1466" s="48"/>
      <c r="F1466" s="69"/>
      <c r="G1466" s="48"/>
      <c r="H1466" s="49"/>
      <c r="I1466" s="48"/>
      <c r="J1466" s="49"/>
    </row>
    <row r="1467" spans="1:10" ht="12.75">
      <c r="A1467" s="42"/>
      <c r="B1467" s="80"/>
      <c r="C1467" s="86"/>
      <c r="D1467" s="48"/>
      <c r="E1467" s="48"/>
      <c r="F1467" s="49"/>
      <c r="G1467" s="48"/>
      <c r="H1467" s="49"/>
      <c r="I1467" s="48"/>
      <c r="J1467" s="49"/>
    </row>
    <row r="1468" spans="1:10" ht="12.75">
      <c r="A1468" s="42"/>
      <c r="B1468" s="80"/>
      <c r="C1468" s="86"/>
      <c r="D1468" s="48"/>
      <c r="E1468" s="48"/>
      <c r="F1468" s="49"/>
      <c r="G1468" s="48"/>
      <c r="H1468" s="49"/>
      <c r="I1468" s="48"/>
      <c r="J1468" s="49"/>
    </row>
    <row r="1469" spans="1:10" ht="12.75">
      <c r="A1469" s="42"/>
      <c r="B1469" s="80"/>
      <c r="C1469" s="86"/>
      <c r="D1469" s="48"/>
      <c r="E1469" s="48"/>
      <c r="F1469" s="49"/>
      <c r="G1469" s="48"/>
      <c r="H1469" s="49"/>
      <c r="I1469" s="48"/>
      <c r="J1469" s="49"/>
    </row>
    <row r="1470" spans="1:10" ht="12.75">
      <c r="A1470" s="42"/>
      <c r="B1470" s="80"/>
      <c r="C1470" s="86"/>
      <c r="D1470" s="48"/>
      <c r="E1470" s="48"/>
      <c r="F1470" s="49"/>
      <c r="G1470" s="48"/>
      <c r="H1470" s="49"/>
      <c r="I1470" s="48"/>
      <c r="J1470" s="49"/>
    </row>
    <row r="1471" spans="1:10" ht="12.75">
      <c r="A1471" s="42"/>
      <c r="B1471" s="80"/>
      <c r="C1471" s="86"/>
      <c r="D1471" s="48"/>
      <c r="E1471" s="48"/>
      <c r="F1471" s="49"/>
      <c r="G1471" s="48"/>
      <c r="H1471" s="49"/>
      <c r="I1471" s="48"/>
      <c r="J1471" s="49"/>
    </row>
    <row r="1472" spans="1:10" ht="12.75">
      <c r="A1472" s="42"/>
      <c r="B1472" s="80"/>
      <c r="C1472" s="86"/>
      <c r="D1472" s="48"/>
      <c r="E1472" s="48"/>
      <c r="F1472" s="49"/>
      <c r="G1472" s="48"/>
      <c r="H1472" s="49"/>
      <c r="I1472" s="48"/>
      <c r="J1472" s="49"/>
    </row>
    <row r="1473" spans="1:10" ht="12.75">
      <c r="A1473" s="42"/>
      <c r="B1473" s="80"/>
      <c r="C1473" s="86"/>
      <c r="D1473" s="48"/>
      <c r="E1473" s="48"/>
      <c r="F1473" s="49"/>
      <c r="G1473" s="48"/>
      <c r="H1473" s="49"/>
      <c r="I1473" s="48"/>
      <c r="J1473" s="49"/>
    </row>
    <row r="1474" spans="1:10" ht="12.75">
      <c r="A1474" s="42"/>
      <c r="B1474" s="80"/>
      <c r="C1474" s="86"/>
      <c r="D1474" s="48"/>
      <c r="E1474" s="48"/>
      <c r="F1474" s="49"/>
      <c r="G1474" s="48"/>
      <c r="H1474" s="49"/>
      <c r="I1474" s="48"/>
      <c r="J1474" s="49"/>
    </row>
    <row r="1475" spans="1:10" ht="12.75">
      <c r="A1475" s="42"/>
      <c r="B1475" s="80"/>
      <c r="C1475" s="86"/>
      <c r="D1475" s="48"/>
      <c r="E1475" s="48"/>
      <c r="F1475" s="49"/>
      <c r="G1475" s="48"/>
      <c r="H1475" s="49"/>
      <c r="I1475" s="48"/>
      <c r="J1475" s="49"/>
    </row>
    <row r="1476" spans="1:10" ht="12.75">
      <c r="A1476" s="42"/>
      <c r="B1476" s="80"/>
      <c r="C1476" s="86"/>
      <c r="D1476" s="48"/>
      <c r="E1476" s="48"/>
      <c r="F1476" s="49"/>
      <c r="G1476" s="48"/>
      <c r="H1476" s="49"/>
      <c r="I1476" s="48"/>
      <c r="J1476" s="49"/>
    </row>
    <row r="1477" spans="1:10" ht="12.75">
      <c r="A1477" s="42"/>
      <c r="B1477" s="80"/>
      <c r="C1477" s="86"/>
      <c r="D1477" s="48"/>
      <c r="E1477" s="48"/>
      <c r="F1477" s="49"/>
      <c r="G1477" s="48"/>
      <c r="H1477" s="49"/>
      <c r="I1477" s="48"/>
      <c r="J1477" s="49"/>
    </row>
    <row r="1478" spans="1:10" ht="12.75">
      <c r="A1478" s="42"/>
      <c r="B1478" s="80"/>
      <c r="C1478" s="86"/>
      <c r="D1478" s="48"/>
      <c r="E1478" s="48"/>
      <c r="F1478" s="49"/>
      <c r="G1478" s="48"/>
      <c r="H1478" s="49"/>
      <c r="I1478" s="48"/>
      <c r="J1478" s="49"/>
    </row>
    <row r="1479" spans="1:10" ht="12.75">
      <c r="A1479" s="42"/>
      <c r="B1479" s="80"/>
      <c r="C1479" s="86"/>
      <c r="D1479" s="48"/>
      <c r="E1479" s="48"/>
      <c r="F1479" s="49"/>
      <c r="G1479" s="48"/>
      <c r="H1479" s="49"/>
      <c r="I1479" s="48"/>
      <c r="J1479" s="49"/>
    </row>
    <row r="1480" spans="1:10" ht="12.75">
      <c r="A1480" s="42"/>
      <c r="B1480" s="80"/>
      <c r="C1480" s="86"/>
      <c r="D1480" s="48"/>
      <c r="E1480" s="48"/>
      <c r="F1480" s="49"/>
      <c r="G1480" s="48"/>
      <c r="H1480" s="49"/>
      <c r="I1480" s="48"/>
      <c r="J1480" s="49"/>
    </row>
    <row r="1481" spans="1:10" ht="12.75">
      <c r="A1481" s="42"/>
      <c r="B1481" s="80"/>
      <c r="C1481" s="86"/>
      <c r="D1481" s="48"/>
      <c r="E1481" s="48"/>
      <c r="F1481" s="49"/>
      <c r="G1481" s="48"/>
      <c r="H1481" s="49"/>
      <c r="I1481" s="48"/>
      <c r="J1481" s="49"/>
    </row>
    <row r="1482" spans="1:10" ht="12.75">
      <c r="A1482" s="42" t="s">
        <v>207</v>
      </c>
      <c r="B1482" s="80"/>
      <c r="C1482" s="86"/>
      <c r="D1482" s="48"/>
      <c r="E1482" s="48"/>
      <c r="F1482" s="49"/>
      <c r="G1482" s="48"/>
      <c r="H1482" s="49"/>
      <c r="I1482" s="48"/>
      <c r="J1482" s="49">
        <f>SUM(J1456:J1481)</f>
        <v>1000</v>
      </c>
    </row>
    <row r="1483" spans="1:10" ht="12.75">
      <c r="A1483" s="43"/>
      <c r="B1483" s="80"/>
      <c r="C1483" s="86"/>
      <c r="D1483" s="48"/>
      <c r="E1483" s="48"/>
      <c r="F1483" s="49"/>
      <c r="G1483" s="48"/>
      <c r="H1483" s="49"/>
      <c r="I1483" s="48"/>
      <c r="J1483" s="49"/>
    </row>
    <row r="1484" spans="1:10" ht="12.75">
      <c r="A1484" s="43"/>
      <c r="B1484" s="84"/>
      <c r="C1484" s="88"/>
      <c r="D1484" s="54"/>
      <c r="E1484" s="54"/>
      <c r="F1484" s="55"/>
      <c r="G1484" s="54"/>
      <c r="H1484" s="55"/>
      <c r="I1484" s="54"/>
      <c r="J1484" s="55"/>
    </row>
    <row r="1485" spans="1:10" ht="12.75"/>
    <row r="1486" spans="1:10" ht="12.75"/>
    <row r="1487" spans="1:10" ht="12.75">
      <c r="A1487" s="41" t="s">
        <v>204</v>
      </c>
      <c r="B1487" s="41"/>
      <c r="C1487" s="41"/>
      <c r="D1487" s="41"/>
      <c r="E1487" s="41"/>
      <c r="F1487" s="41"/>
    </row>
    <row r="1488" spans="1:10" ht="12.75"/>
    <row r="1489" spans="1:10" ht="12.75"/>
    <row r="1490" spans="1:10" ht="12.75">
      <c r="A1490" s="42" t="s">
        <v>188</v>
      </c>
      <c r="B1490" s="42" t="s">
        <v>189</v>
      </c>
      <c r="C1490" s="42"/>
      <c r="D1490" s="42"/>
      <c r="E1490" s="42"/>
      <c r="F1490" s="42"/>
      <c r="G1490" s="43" t="s">
        <v>113</v>
      </c>
      <c r="H1490" s="42" t="s">
        <v>205</v>
      </c>
      <c r="I1490" s="42" t="s">
        <v>210</v>
      </c>
      <c r="J1490" s="43"/>
    </row>
    <row r="1491" spans="1:10" ht="12.75">
      <c r="A1491" s="42" t="s">
        <v>191</v>
      </c>
      <c r="B1491" s="89">
        <v>45987</v>
      </c>
      <c r="C1491" s="42"/>
      <c r="D1491" s="42"/>
      <c r="E1491" s="42"/>
      <c r="F1491" s="42"/>
      <c r="G1491" s="43"/>
      <c r="H1491" s="42" t="s">
        <v>192</v>
      </c>
      <c r="I1491" s="91" t="s">
        <v>154</v>
      </c>
      <c r="J1491" s="43"/>
    </row>
    <row r="1492" spans="1:10" ht="12.75">
      <c r="A1492" s="42"/>
      <c r="B1492" s="42"/>
      <c r="C1492" s="42"/>
      <c r="D1492" s="42"/>
      <c r="E1492" s="42"/>
      <c r="F1492" s="42"/>
      <c r="G1492" s="43"/>
      <c r="H1492" s="43"/>
      <c r="I1492" s="43"/>
      <c r="J1492" s="43"/>
    </row>
    <row r="1493" spans="1:10" ht="12.75">
      <c r="A1493" s="42"/>
      <c r="B1493" s="44" t="s">
        <v>193</v>
      </c>
      <c r="C1493" s="44" t="s">
        <v>194</v>
      </c>
      <c r="D1493" s="44" t="s">
        <v>195</v>
      </c>
      <c r="E1493" s="44" t="s">
        <v>196</v>
      </c>
      <c r="F1493" s="44" t="s">
        <v>197</v>
      </c>
      <c r="G1493" s="44" t="s">
        <v>198</v>
      </c>
      <c r="H1493" s="44" t="s">
        <v>199</v>
      </c>
      <c r="I1493" s="44" t="s">
        <v>200</v>
      </c>
      <c r="J1493" s="44" t="s">
        <v>199</v>
      </c>
    </row>
    <row r="1494" spans="1:10" ht="12.75">
      <c r="A1494" s="42"/>
      <c r="B1494" s="79"/>
      <c r="C1494" s="85"/>
      <c r="D1494" s="45"/>
      <c r="E1494" s="45"/>
      <c r="F1494" s="46"/>
      <c r="G1494" s="45"/>
      <c r="H1494" s="46"/>
      <c r="I1494" s="45"/>
      <c r="J1494" s="47"/>
    </row>
    <row r="1495" spans="1:10" ht="12.75">
      <c r="B1495" s="82">
        <v>1</v>
      </c>
      <c r="C1495" s="60" t="s">
        <v>209</v>
      </c>
      <c r="D1495" s="48" t="s">
        <v>202</v>
      </c>
      <c r="E1495" s="48"/>
      <c r="F1495" s="69">
        <v>45987</v>
      </c>
      <c r="G1495" s="48" t="s">
        <v>113</v>
      </c>
      <c r="H1495" s="49"/>
      <c r="I1495" s="48" t="s">
        <v>139</v>
      </c>
      <c r="J1495" s="49">
        <v>142</v>
      </c>
    </row>
    <row r="1496" spans="1:10" ht="12.75">
      <c r="B1496" s="82"/>
      <c r="C1496" s="60"/>
      <c r="D1496" s="48"/>
      <c r="E1496" s="48"/>
      <c r="F1496" s="49"/>
      <c r="G1496" s="48"/>
      <c r="H1496" s="49"/>
      <c r="I1496" s="48"/>
      <c r="J1496" s="49"/>
    </row>
    <row r="1497" spans="1:10" ht="12.75">
      <c r="A1497" s="42"/>
      <c r="B1497" s="82"/>
      <c r="C1497" s="60"/>
      <c r="D1497" s="48"/>
      <c r="E1497" s="48"/>
      <c r="F1497" s="69"/>
      <c r="G1497" s="48"/>
      <c r="H1497" s="49"/>
      <c r="I1497" s="48" t="s">
        <v>113</v>
      </c>
      <c r="J1497" s="49" t="s">
        <v>113</v>
      </c>
    </row>
    <row r="1498" spans="1:10" ht="12.75">
      <c r="A1498" s="42"/>
      <c r="B1498" s="82"/>
      <c r="C1498" s="60"/>
      <c r="D1498" s="48"/>
      <c r="E1498" s="48"/>
      <c r="F1498" s="49"/>
      <c r="G1498" s="48"/>
      <c r="H1498" s="49"/>
      <c r="I1498" s="48"/>
      <c r="J1498" s="49"/>
    </row>
    <row r="1499" spans="1:10" ht="12.75">
      <c r="B1499" s="82"/>
      <c r="C1499" s="60"/>
      <c r="D1499" s="48"/>
      <c r="E1499" s="48"/>
      <c r="F1499" s="69"/>
      <c r="G1499" s="48"/>
      <c r="H1499" s="49"/>
      <c r="I1499" s="48"/>
      <c r="J1499" s="49"/>
    </row>
    <row r="1500" spans="1:10" ht="12.75">
      <c r="B1500" s="82"/>
      <c r="C1500" s="60"/>
      <c r="D1500" s="48"/>
      <c r="E1500" s="48"/>
      <c r="F1500" s="49"/>
      <c r="G1500" s="48"/>
      <c r="H1500" s="49"/>
      <c r="I1500" s="48"/>
      <c r="J1500" s="49"/>
    </row>
    <row r="1501" spans="1:10" ht="12.75">
      <c r="A1501" s="42"/>
      <c r="B1501" s="82"/>
      <c r="C1501" s="60"/>
      <c r="D1501" s="48"/>
      <c r="E1501" s="48"/>
      <c r="F1501" s="69"/>
      <c r="G1501" s="48"/>
      <c r="H1501" s="49"/>
      <c r="I1501" s="48"/>
      <c r="J1501" s="49"/>
    </row>
    <row r="1502" spans="1:10" ht="12.75">
      <c r="A1502" s="42"/>
      <c r="B1502" s="80"/>
      <c r="C1502" s="86"/>
      <c r="D1502" s="48"/>
      <c r="E1502" s="48"/>
      <c r="F1502" s="49"/>
      <c r="G1502" s="48"/>
      <c r="H1502" s="49"/>
      <c r="I1502" s="48"/>
      <c r="J1502" s="49"/>
    </row>
    <row r="1503" spans="1:10" ht="12.75">
      <c r="B1503" s="80"/>
      <c r="C1503" s="60"/>
      <c r="D1503" s="48"/>
      <c r="E1503" s="48"/>
      <c r="F1503" s="69"/>
      <c r="G1503" s="48"/>
      <c r="H1503" s="49"/>
      <c r="I1503" s="48"/>
      <c r="J1503" s="49"/>
    </row>
    <row r="1504" spans="1:10" ht="12.75">
      <c r="A1504" s="42"/>
      <c r="B1504" s="80"/>
      <c r="C1504" s="86"/>
      <c r="D1504" s="48"/>
      <c r="E1504" s="48"/>
      <c r="F1504" s="49"/>
      <c r="G1504" s="48"/>
      <c r="H1504" s="49"/>
      <c r="I1504" s="48"/>
      <c r="J1504" s="49"/>
    </row>
    <row r="1505" spans="1:10" ht="12.75">
      <c r="A1505" s="42"/>
      <c r="B1505" s="80"/>
      <c r="C1505" s="60"/>
      <c r="D1505" s="48"/>
      <c r="E1505" s="48"/>
      <c r="F1505" s="69"/>
      <c r="G1505" s="48"/>
      <c r="H1505" s="49"/>
      <c r="I1505" s="48"/>
      <c r="J1505" s="49"/>
    </row>
    <row r="1506" spans="1:10" ht="12.75">
      <c r="A1506" s="42"/>
      <c r="B1506" s="80"/>
      <c r="C1506" s="86"/>
      <c r="D1506" s="48"/>
      <c r="E1506" s="48"/>
      <c r="F1506" s="49"/>
      <c r="G1506" s="48"/>
      <c r="H1506" s="49"/>
      <c r="I1506" s="48"/>
      <c r="J1506" s="49"/>
    </row>
    <row r="1507" spans="1:10" ht="12.75">
      <c r="A1507" s="42"/>
      <c r="B1507" s="80"/>
      <c r="C1507" s="86"/>
      <c r="D1507" s="48"/>
      <c r="E1507" s="48"/>
      <c r="F1507" s="49"/>
      <c r="G1507" s="48"/>
      <c r="H1507" s="49"/>
      <c r="I1507" s="48"/>
      <c r="J1507" s="49"/>
    </row>
    <row r="1508" spans="1:10" ht="12.75">
      <c r="A1508" s="42"/>
      <c r="B1508" s="80"/>
      <c r="C1508" s="86"/>
      <c r="D1508" s="48"/>
      <c r="E1508" s="48"/>
      <c r="F1508" s="49"/>
      <c r="G1508" s="48"/>
      <c r="H1508" s="49"/>
      <c r="I1508" s="48"/>
      <c r="J1508" s="49"/>
    </row>
    <row r="1509" spans="1:10" ht="12.75">
      <c r="A1509" s="42"/>
      <c r="B1509" s="80"/>
      <c r="C1509" s="86"/>
      <c r="D1509" s="48"/>
      <c r="E1509" s="48"/>
      <c r="F1509" s="49"/>
      <c r="G1509" s="48"/>
      <c r="H1509" s="49"/>
      <c r="I1509" s="48"/>
      <c r="J1509" s="49"/>
    </row>
    <row r="1510" spans="1:10" ht="12.75">
      <c r="A1510" s="42"/>
      <c r="B1510" s="80"/>
      <c r="C1510" s="86"/>
      <c r="D1510" s="48"/>
      <c r="E1510" s="48"/>
      <c r="F1510" s="49"/>
      <c r="G1510" s="48"/>
      <c r="H1510" s="49"/>
      <c r="I1510" s="48"/>
      <c r="J1510" s="49"/>
    </row>
    <row r="1511" spans="1:10" ht="12.75">
      <c r="A1511" s="42"/>
      <c r="B1511" s="80"/>
      <c r="C1511" s="86"/>
      <c r="D1511" s="48"/>
      <c r="E1511" s="48"/>
      <c r="F1511" s="49"/>
      <c r="G1511" s="48"/>
      <c r="H1511" s="49"/>
      <c r="I1511" s="48"/>
      <c r="J1511" s="49"/>
    </row>
    <row r="1512" spans="1:10" ht="12.75">
      <c r="A1512" s="42"/>
      <c r="B1512" s="80"/>
      <c r="C1512" s="86"/>
      <c r="D1512" s="48"/>
      <c r="E1512" s="48"/>
      <c r="F1512" s="49"/>
      <c r="G1512" s="48"/>
      <c r="H1512" s="49"/>
      <c r="I1512" s="48"/>
      <c r="J1512" s="49"/>
    </row>
    <row r="1513" spans="1:10" ht="12.75">
      <c r="A1513" s="42"/>
      <c r="B1513" s="80"/>
      <c r="C1513" s="86"/>
      <c r="D1513" s="48"/>
      <c r="E1513" s="48"/>
      <c r="F1513" s="49"/>
      <c r="G1513" s="48"/>
      <c r="H1513" s="49"/>
      <c r="I1513" s="48"/>
      <c r="J1513" s="49"/>
    </row>
    <row r="1514" spans="1:10" ht="12.75">
      <c r="A1514" s="42"/>
      <c r="B1514" s="80"/>
      <c r="C1514" s="86"/>
      <c r="D1514" s="48"/>
      <c r="E1514" s="48"/>
      <c r="F1514" s="49"/>
      <c r="G1514" s="48"/>
      <c r="H1514" s="49"/>
      <c r="I1514" s="48"/>
      <c r="J1514" s="49"/>
    </row>
    <row r="1515" spans="1:10" ht="12.75">
      <c r="A1515" s="42"/>
      <c r="B1515" s="80"/>
      <c r="C1515" s="86"/>
      <c r="D1515" s="48"/>
      <c r="E1515" s="48"/>
      <c r="F1515" s="49"/>
      <c r="G1515" s="48"/>
      <c r="H1515" s="49"/>
      <c r="I1515" s="48"/>
      <c r="J1515" s="49"/>
    </row>
    <row r="1516" spans="1:10" ht="12.75">
      <c r="A1516" s="42"/>
      <c r="B1516" s="80"/>
      <c r="C1516" s="86"/>
      <c r="D1516" s="48"/>
      <c r="E1516" s="48"/>
      <c r="F1516" s="49"/>
      <c r="G1516" s="48"/>
      <c r="H1516" s="49"/>
      <c r="I1516" s="48"/>
      <c r="J1516" s="49"/>
    </row>
    <row r="1517" spans="1:10" ht="12.75">
      <c r="A1517" s="42"/>
      <c r="B1517" s="80"/>
      <c r="C1517" s="86"/>
      <c r="D1517" s="48"/>
      <c r="E1517" s="48"/>
      <c r="F1517" s="49"/>
      <c r="G1517" s="48"/>
      <c r="H1517" s="49"/>
      <c r="I1517" s="48"/>
      <c r="J1517" s="49"/>
    </row>
    <row r="1518" spans="1:10" ht="12.75">
      <c r="A1518" s="42"/>
      <c r="B1518" s="80"/>
      <c r="C1518" s="86"/>
      <c r="D1518" s="48"/>
      <c r="E1518" s="48"/>
      <c r="F1518" s="49"/>
      <c r="G1518" s="48"/>
      <c r="H1518" s="49"/>
      <c r="I1518" s="48"/>
      <c r="J1518" s="49"/>
    </row>
    <row r="1519" spans="1:10" ht="12.75">
      <c r="A1519" s="42"/>
      <c r="B1519" s="80"/>
      <c r="C1519" s="86"/>
      <c r="D1519" s="48"/>
      <c r="E1519" s="48"/>
      <c r="F1519" s="49"/>
      <c r="G1519" s="48"/>
      <c r="H1519" s="49"/>
      <c r="I1519" s="48"/>
      <c r="J1519" s="49"/>
    </row>
    <row r="1520" spans="1:10" ht="12.75">
      <c r="A1520" s="42"/>
      <c r="B1520" s="80"/>
      <c r="C1520" s="86"/>
      <c r="D1520" s="48"/>
      <c r="E1520" s="48"/>
      <c r="F1520" s="49"/>
      <c r="G1520" s="48"/>
      <c r="H1520" s="49"/>
      <c r="I1520" s="48"/>
      <c r="J1520" s="49"/>
    </row>
    <row r="1521" spans="1:10" ht="12.75">
      <c r="A1521" s="42" t="s">
        <v>207</v>
      </c>
      <c r="B1521" s="80"/>
      <c r="C1521" s="86"/>
      <c r="D1521" s="48"/>
      <c r="E1521" s="48"/>
      <c r="F1521" s="49"/>
      <c r="G1521" s="48"/>
      <c r="H1521" s="49">
        <f>SUM(H1495:H1520)</f>
        <v>0</v>
      </c>
      <c r="I1521" s="48"/>
      <c r="J1521" s="49">
        <f>SUM(J1495:J1520)</f>
        <v>142</v>
      </c>
    </row>
    <row r="1522" spans="1:10" ht="12.75">
      <c r="A1522" s="43"/>
      <c r="B1522" s="80"/>
      <c r="C1522" s="86"/>
      <c r="D1522" s="48"/>
      <c r="E1522" s="48"/>
      <c r="F1522" s="49"/>
      <c r="G1522" s="48"/>
      <c r="H1522" s="49"/>
      <c r="I1522" s="48"/>
      <c r="J1522" s="49"/>
    </row>
    <row r="1523" spans="1:10" ht="12.75">
      <c r="A1523" s="43"/>
      <c r="B1523" s="84"/>
      <c r="C1523" s="88"/>
      <c r="D1523" s="54"/>
      <c r="E1523" s="54"/>
      <c r="F1523" s="55"/>
      <c r="G1523" s="54"/>
      <c r="H1523" s="55"/>
      <c r="I1523" s="54"/>
      <c r="J1523" s="55"/>
    </row>
    <row r="1524" spans="1:10" ht="12.75"/>
    <row r="1525" spans="1:10" ht="12.75"/>
    <row r="1526" spans="1:10" ht="12.75">
      <c r="A1526" s="41" t="s">
        <v>187</v>
      </c>
      <c r="B1526" s="41"/>
      <c r="C1526" s="41"/>
      <c r="D1526" s="41"/>
      <c r="E1526" s="41"/>
      <c r="F1526" s="41"/>
    </row>
    <row r="1527" spans="1:10" ht="12.75">
      <c r="F1527" s="68" t="s">
        <v>113</v>
      </c>
    </row>
    <row r="1528" spans="1:10" ht="12.75"/>
    <row r="1529" spans="1:10" ht="12.75">
      <c r="A1529" s="42" t="s">
        <v>188</v>
      </c>
      <c r="B1529" s="42" t="s">
        <v>189</v>
      </c>
      <c r="C1529" s="42"/>
      <c r="D1529" s="42"/>
      <c r="E1529" s="42"/>
      <c r="F1529" s="42"/>
      <c r="G1529" s="43" t="s">
        <v>113</v>
      </c>
      <c r="H1529" s="42" t="s">
        <v>175</v>
      </c>
      <c r="I1529" s="90" t="s">
        <v>190</v>
      </c>
      <c r="J1529" s="43"/>
    </row>
    <row r="1530" spans="1:10" ht="12.75">
      <c r="A1530" s="42" t="s">
        <v>191</v>
      </c>
      <c r="B1530" s="89">
        <v>45989</v>
      </c>
      <c r="C1530" s="42"/>
      <c r="D1530" s="42"/>
      <c r="E1530" s="42"/>
      <c r="F1530" s="42"/>
      <c r="G1530" s="43"/>
      <c r="H1530" s="42" t="s">
        <v>192</v>
      </c>
      <c r="I1530" s="91" t="s">
        <v>109</v>
      </c>
      <c r="J1530" s="43"/>
    </row>
    <row r="1531" spans="1:10" ht="12.75">
      <c r="A1531" s="42"/>
      <c r="B1531" s="42"/>
      <c r="C1531" s="42"/>
      <c r="D1531" s="42"/>
      <c r="E1531" s="42"/>
      <c r="F1531" s="42"/>
      <c r="G1531" s="43"/>
      <c r="H1531" s="43"/>
      <c r="I1531" s="43"/>
      <c r="J1531" s="43"/>
    </row>
    <row r="1532" spans="1:10" ht="12.75">
      <c r="A1532" s="42"/>
      <c r="B1532" s="44" t="s">
        <v>193</v>
      </c>
      <c r="C1532" s="44" t="s">
        <v>194</v>
      </c>
      <c r="D1532" s="44" t="s">
        <v>195</v>
      </c>
      <c r="E1532" s="44" t="s">
        <v>196</v>
      </c>
      <c r="F1532" s="44" t="s">
        <v>197</v>
      </c>
      <c r="G1532" s="44" t="s">
        <v>198</v>
      </c>
      <c r="H1532" s="44" t="s">
        <v>199</v>
      </c>
      <c r="I1532" s="44" t="s">
        <v>200</v>
      </c>
      <c r="J1532" s="44" t="s">
        <v>199</v>
      </c>
    </row>
    <row r="1533" spans="1:10" ht="12.75">
      <c r="A1533" s="42"/>
      <c r="B1533" s="79"/>
      <c r="C1533" s="85"/>
      <c r="D1533" s="45"/>
      <c r="E1533" s="45"/>
      <c r="F1533" s="46"/>
      <c r="G1533" s="45"/>
      <c r="H1533" s="46"/>
      <c r="I1533" s="45"/>
      <c r="J1533" s="47"/>
    </row>
    <row r="1534" spans="1:10" ht="12.75">
      <c r="B1534" s="80">
        <v>1</v>
      </c>
      <c r="C1534" s="86" t="s">
        <v>201</v>
      </c>
      <c r="D1534" s="48" t="s">
        <v>202</v>
      </c>
      <c r="E1534" s="48"/>
      <c r="F1534" s="69">
        <v>45989</v>
      </c>
      <c r="G1534" s="48" t="s">
        <v>125</v>
      </c>
      <c r="H1534" s="49">
        <v>350000</v>
      </c>
      <c r="I1534" s="48" t="s">
        <v>113</v>
      </c>
      <c r="J1534" s="49" t="s">
        <v>113</v>
      </c>
    </row>
    <row r="1535" spans="1:10" ht="12.75">
      <c r="A1535" s="42"/>
      <c r="B1535" s="80"/>
      <c r="C1535" s="86"/>
      <c r="D1535" s="48"/>
      <c r="E1535" s="48"/>
      <c r="F1535" s="49"/>
      <c r="G1535" s="48"/>
      <c r="H1535" s="49"/>
      <c r="I1535" s="48"/>
      <c r="J1535" s="49"/>
    </row>
    <row r="1536" spans="1:10" ht="12.75">
      <c r="B1536" s="81"/>
      <c r="C1536" s="59"/>
      <c r="D1536" s="48"/>
      <c r="E1536" s="48"/>
      <c r="F1536" s="69"/>
      <c r="G1536" s="48"/>
      <c r="H1536" s="49"/>
      <c r="I1536" s="48"/>
      <c r="J1536" s="49"/>
    </row>
    <row r="1537" spans="1:11" ht="12.75">
      <c r="B1537" s="81"/>
      <c r="C1537" s="59"/>
      <c r="D1537" s="48"/>
      <c r="E1537" s="48"/>
      <c r="F1537" s="49"/>
      <c r="G1537" s="48"/>
      <c r="H1537" s="49"/>
      <c r="I1537" s="48"/>
      <c r="J1537" s="49"/>
    </row>
    <row r="1538" spans="1:11" ht="12.75">
      <c r="A1538" s="42"/>
      <c r="B1538" s="81"/>
      <c r="C1538" s="104"/>
      <c r="D1538" s="48"/>
      <c r="E1538" s="48"/>
      <c r="F1538" s="69"/>
      <c r="G1538" s="48"/>
      <c r="H1538" s="49"/>
      <c r="I1538" s="48"/>
      <c r="J1538" s="49"/>
    </row>
    <row r="1539" spans="1:11" ht="12.75">
      <c r="A1539" s="42"/>
      <c r="B1539" s="81"/>
      <c r="C1539" s="59"/>
      <c r="D1539" s="48"/>
      <c r="E1539" s="48"/>
      <c r="F1539" s="49"/>
      <c r="G1539" s="48"/>
      <c r="H1539" s="49"/>
      <c r="I1539" s="48"/>
      <c r="J1539" s="49"/>
    </row>
    <row r="1540" spans="1:11" ht="12.75">
      <c r="A1540" s="42"/>
      <c r="B1540" s="82"/>
      <c r="C1540" s="60"/>
      <c r="D1540" s="48"/>
      <c r="E1540" s="48"/>
      <c r="F1540" s="69"/>
      <c r="G1540" s="48"/>
      <c r="H1540" s="49"/>
      <c r="I1540" s="48"/>
      <c r="J1540" s="49"/>
    </row>
    <row r="1541" spans="1:11" ht="12.75">
      <c r="B1541" s="80"/>
      <c r="C1541" s="86"/>
      <c r="D1541" s="48"/>
      <c r="E1541" s="48"/>
      <c r="F1541" s="49"/>
      <c r="G1541" s="48"/>
      <c r="H1541" s="49"/>
      <c r="I1541" s="48"/>
      <c r="J1541" s="49"/>
    </row>
    <row r="1542" spans="1:11" ht="12.75">
      <c r="A1542" s="42"/>
      <c r="B1542" s="80"/>
      <c r="C1542" s="86"/>
      <c r="D1542" s="48"/>
      <c r="E1542" s="48"/>
      <c r="F1542" s="49"/>
      <c r="G1542" s="48"/>
      <c r="H1542" s="49"/>
      <c r="I1542" s="48"/>
      <c r="J1542" s="49"/>
    </row>
    <row r="1543" spans="1:11" ht="12.75">
      <c r="A1543" s="42"/>
      <c r="B1543" s="80"/>
      <c r="C1543" s="86"/>
      <c r="D1543" s="48"/>
      <c r="E1543" s="48"/>
      <c r="F1543" s="49"/>
      <c r="G1543" s="48"/>
      <c r="H1543" s="49"/>
      <c r="I1543" s="48"/>
      <c r="J1543" s="49"/>
    </row>
    <row r="1544" spans="1:11" ht="12.75">
      <c r="A1544" s="42"/>
      <c r="B1544" s="80"/>
      <c r="C1544" s="86"/>
      <c r="D1544" s="48"/>
      <c r="E1544" s="48"/>
      <c r="F1544" s="49"/>
      <c r="G1544" s="48"/>
      <c r="H1544" s="49"/>
      <c r="I1544" s="48"/>
      <c r="J1544" s="49"/>
    </row>
    <row r="1545" spans="1:11" ht="12.75">
      <c r="A1545" s="42"/>
      <c r="B1545" s="80"/>
      <c r="C1545" s="86"/>
      <c r="D1545" s="48"/>
      <c r="E1545" s="48"/>
      <c r="F1545" s="49"/>
      <c r="G1545" s="48"/>
      <c r="H1545" s="49"/>
      <c r="I1545" s="48"/>
      <c r="J1545" s="49"/>
    </row>
    <row r="1546" spans="1:11" ht="12.75">
      <c r="A1546" s="42"/>
      <c r="B1546" s="80"/>
      <c r="C1546" s="86"/>
      <c r="D1546" s="48"/>
      <c r="E1546" s="48"/>
      <c r="F1546" s="49"/>
      <c r="G1546" s="48"/>
      <c r="H1546" s="49"/>
      <c r="I1546" s="48"/>
      <c r="J1546" s="49"/>
    </row>
    <row r="1547" spans="1:11" ht="12.75">
      <c r="A1547" s="50"/>
      <c r="B1547" s="83"/>
      <c r="C1547" s="87"/>
      <c r="D1547" s="51"/>
      <c r="E1547" s="51"/>
      <c r="F1547" s="52"/>
      <c r="G1547" s="51"/>
      <c r="H1547" s="52"/>
      <c r="I1547" s="51"/>
      <c r="J1547" s="52"/>
      <c r="K1547" s="53"/>
    </row>
    <row r="1548" spans="1:11" ht="12.75">
      <c r="A1548" s="42"/>
      <c r="B1548" s="80"/>
      <c r="C1548" s="86"/>
      <c r="D1548" s="48"/>
      <c r="E1548" s="48"/>
      <c r="F1548" s="49"/>
      <c r="G1548" s="48"/>
      <c r="H1548" s="49"/>
      <c r="I1548" s="48"/>
      <c r="J1548" s="49"/>
    </row>
    <row r="1549" spans="1:11" ht="12.75">
      <c r="A1549" s="42"/>
      <c r="B1549" s="80"/>
      <c r="C1549" s="86"/>
      <c r="D1549" s="48"/>
      <c r="E1549" s="48"/>
      <c r="F1549" s="49"/>
      <c r="G1549" s="48"/>
      <c r="H1549" s="49"/>
      <c r="I1549" s="48"/>
      <c r="J1549" s="49"/>
    </row>
    <row r="1550" spans="1:11" ht="12.75">
      <c r="A1550" s="42"/>
      <c r="B1550" s="80"/>
      <c r="C1550" s="86"/>
      <c r="D1550" s="48"/>
      <c r="E1550" s="48"/>
      <c r="F1550" s="49"/>
      <c r="G1550" s="48"/>
      <c r="H1550" s="49"/>
      <c r="I1550" s="48"/>
      <c r="J1550" s="49"/>
    </row>
    <row r="1551" spans="1:11" ht="12.75">
      <c r="A1551" s="42"/>
      <c r="B1551" s="80"/>
      <c r="C1551" s="86"/>
      <c r="D1551" s="48"/>
      <c r="E1551" s="48"/>
      <c r="F1551" s="49"/>
      <c r="G1551" s="48"/>
      <c r="H1551" s="49"/>
      <c r="I1551" s="48"/>
      <c r="J1551" s="49"/>
    </row>
    <row r="1552" spans="1:11" ht="12.75">
      <c r="A1552" s="42"/>
      <c r="B1552" s="80"/>
      <c r="C1552" s="86"/>
      <c r="D1552" s="48"/>
      <c r="E1552" s="48"/>
      <c r="F1552" s="49"/>
      <c r="G1552" s="48"/>
      <c r="H1552" s="49"/>
      <c r="I1552" s="48"/>
      <c r="J1552" s="49"/>
    </row>
    <row r="1553" spans="1:10" ht="12.75">
      <c r="A1553" s="42"/>
      <c r="B1553" s="80"/>
      <c r="C1553" s="86"/>
      <c r="D1553" s="48"/>
      <c r="E1553" s="48"/>
      <c r="F1553" s="49"/>
      <c r="G1553" s="48"/>
      <c r="H1553" s="49"/>
      <c r="I1553" s="48"/>
      <c r="J1553" s="49"/>
    </row>
    <row r="1554" spans="1:10" ht="12.75">
      <c r="A1554" s="42"/>
      <c r="B1554" s="80"/>
      <c r="C1554" s="86"/>
      <c r="D1554" s="48"/>
      <c r="E1554" s="48"/>
      <c r="F1554" s="49"/>
      <c r="G1554" s="48"/>
      <c r="H1554" s="49"/>
      <c r="I1554" s="48"/>
      <c r="J1554" s="49"/>
    </row>
    <row r="1555" spans="1:10" ht="12.75">
      <c r="A1555" s="42"/>
      <c r="B1555" s="80"/>
      <c r="C1555" s="86"/>
      <c r="D1555" s="48"/>
      <c r="E1555" s="48"/>
      <c r="F1555" s="49"/>
      <c r="G1555" s="48"/>
      <c r="H1555" s="49"/>
      <c r="I1555" s="48"/>
      <c r="J1555" s="49"/>
    </row>
    <row r="1556" spans="1:10" ht="12.75">
      <c r="A1556" s="42"/>
      <c r="B1556" s="80"/>
      <c r="C1556" s="86"/>
      <c r="D1556" s="48"/>
      <c r="E1556" s="48"/>
      <c r="F1556" s="49"/>
      <c r="G1556" s="48"/>
      <c r="H1556" s="49"/>
      <c r="I1556" s="48"/>
      <c r="J1556" s="49"/>
    </row>
    <row r="1557" spans="1:10" ht="12.75">
      <c r="A1557" s="42"/>
      <c r="B1557" s="80"/>
      <c r="C1557" s="86"/>
      <c r="D1557" s="48"/>
      <c r="E1557" s="48"/>
      <c r="F1557" s="49"/>
      <c r="G1557" s="48"/>
      <c r="H1557" s="49"/>
      <c r="I1557" s="48"/>
      <c r="J1557" s="49"/>
    </row>
    <row r="1558" spans="1:10" ht="12.75">
      <c r="A1558" s="42"/>
      <c r="B1558" s="80"/>
      <c r="C1558" s="86"/>
      <c r="D1558" s="48"/>
      <c r="E1558" s="48"/>
      <c r="F1558" s="49"/>
      <c r="G1558" s="48"/>
      <c r="H1558" s="49"/>
      <c r="I1558" s="48"/>
      <c r="J1558" s="49"/>
    </row>
    <row r="1559" spans="1:10" ht="12.75">
      <c r="A1559" s="42"/>
      <c r="B1559" s="80"/>
      <c r="C1559" s="86"/>
      <c r="D1559" s="48"/>
      <c r="E1559" s="48"/>
      <c r="F1559" s="49"/>
      <c r="G1559" s="48"/>
      <c r="H1559" s="49"/>
      <c r="I1559" s="48"/>
      <c r="J1559" s="49"/>
    </row>
    <row r="1560" spans="1:10" ht="12.75">
      <c r="A1560" s="42"/>
      <c r="B1560" s="80"/>
      <c r="C1560" s="86"/>
      <c r="D1560" s="48"/>
      <c r="E1560" s="48"/>
      <c r="F1560" s="49"/>
      <c r="G1560" s="48"/>
      <c r="H1560" s="49"/>
      <c r="I1560" s="48"/>
      <c r="J1560" s="49"/>
    </row>
    <row r="1561" spans="1:10" ht="12.75">
      <c r="A1561" s="42"/>
      <c r="B1561" s="80"/>
      <c r="C1561" s="86"/>
      <c r="D1561" s="48"/>
      <c r="E1561" s="48"/>
      <c r="F1561" s="49"/>
      <c r="G1561" s="48"/>
      <c r="H1561" s="49"/>
      <c r="I1561" s="48"/>
      <c r="J1561" s="49"/>
    </row>
    <row r="1562" spans="1:10" ht="12.75">
      <c r="A1562" s="42"/>
      <c r="B1562" s="80"/>
      <c r="C1562" s="86"/>
      <c r="D1562" s="48"/>
      <c r="E1562" s="48"/>
      <c r="F1562" s="49"/>
      <c r="G1562" s="48"/>
      <c r="H1562" s="49"/>
      <c r="I1562" s="48"/>
      <c r="J1562" s="49"/>
    </row>
    <row r="1563" spans="1:10" ht="12.75">
      <c r="A1563" s="42" t="s">
        <v>203</v>
      </c>
      <c r="B1563" s="80"/>
      <c r="C1563" s="86"/>
      <c r="D1563" s="48"/>
      <c r="E1563" s="48"/>
      <c r="F1563" s="49"/>
      <c r="G1563" s="48"/>
      <c r="H1563" s="49">
        <f>SUM(H1534:H1562)</f>
        <v>350000</v>
      </c>
      <c r="I1563" s="48"/>
      <c r="J1563" s="49">
        <f>SUM(J1534:J1561)</f>
        <v>0</v>
      </c>
    </row>
    <row r="1564" spans="1:10" ht="12.75">
      <c r="A1564" s="43"/>
      <c r="B1564" s="80"/>
      <c r="C1564" s="86"/>
      <c r="D1564" s="48"/>
      <c r="E1564" s="48"/>
      <c r="F1564" s="49"/>
      <c r="G1564" s="48"/>
      <c r="H1564" s="49"/>
      <c r="I1564" s="48"/>
      <c r="J1564" s="49"/>
    </row>
    <row r="1565" spans="1:10" ht="12.75">
      <c r="A1565" s="43"/>
      <c r="B1565" s="84"/>
      <c r="C1565" s="88"/>
      <c r="D1565" s="54"/>
      <c r="E1565" s="54"/>
      <c r="F1565" s="55"/>
      <c r="G1565" s="54"/>
      <c r="H1565" s="55"/>
      <c r="I1565" s="54"/>
      <c r="J1565" s="55"/>
    </row>
    <row r="1566" spans="1:10" ht="12.75"/>
    <row r="1567" spans="1:10" ht="12.75"/>
    <row r="1568" spans="1:10" ht="12.75">
      <c r="A1568" s="41" t="s">
        <v>204</v>
      </c>
      <c r="B1568" s="41"/>
      <c r="C1568" s="41"/>
      <c r="D1568" s="41"/>
      <c r="E1568" s="41"/>
      <c r="F1568" s="41"/>
    </row>
    <row r="1569" spans="1:10" ht="12.75"/>
    <row r="1570" spans="1:10" ht="12.75"/>
    <row r="1571" spans="1:10" ht="12.75">
      <c r="A1571" s="42" t="s">
        <v>188</v>
      </c>
      <c r="B1571" s="42" t="s">
        <v>189</v>
      </c>
      <c r="C1571" s="42"/>
      <c r="D1571" s="42"/>
      <c r="E1571" s="42"/>
      <c r="F1571" s="42"/>
      <c r="G1571" s="43" t="s">
        <v>113</v>
      </c>
      <c r="H1571" s="42" t="s">
        <v>205</v>
      </c>
      <c r="I1571" s="42" t="s">
        <v>208</v>
      </c>
      <c r="J1571" s="43"/>
    </row>
    <row r="1572" spans="1:10" ht="12.75">
      <c r="A1572" s="42" t="s">
        <v>191</v>
      </c>
      <c r="B1572" s="89">
        <v>45989</v>
      </c>
      <c r="C1572" s="42"/>
      <c r="D1572" s="42"/>
      <c r="E1572" s="42"/>
      <c r="F1572" s="42"/>
      <c r="G1572" s="43"/>
      <c r="H1572" s="42" t="s">
        <v>192</v>
      </c>
      <c r="I1572" s="91" t="s">
        <v>137</v>
      </c>
      <c r="J1572" s="43"/>
    </row>
    <row r="1573" spans="1:10" ht="12.75">
      <c r="A1573" s="42"/>
      <c r="B1573" s="42"/>
      <c r="C1573" s="42"/>
      <c r="D1573" s="42"/>
      <c r="E1573" s="42"/>
      <c r="F1573" s="42"/>
      <c r="G1573" s="43"/>
      <c r="H1573" s="43"/>
      <c r="I1573" s="43"/>
      <c r="J1573" s="43"/>
    </row>
    <row r="1574" spans="1:10" ht="12.75">
      <c r="A1574" s="42"/>
      <c r="B1574" s="44" t="s">
        <v>193</v>
      </c>
      <c r="C1574" s="44" t="s">
        <v>194</v>
      </c>
      <c r="D1574" s="44" t="s">
        <v>195</v>
      </c>
      <c r="E1574" s="44" t="s">
        <v>196</v>
      </c>
      <c r="F1574" s="44" t="s">
        <v>197</v>
      </c>
      <c r="G1574" s="44" t="s">
        <v>198</v>
      </c>
      <c r="H1574" s="44" t="s">
        <v>199</v>
      </c>
      <c r="I1574" s="44" t="s">
        <v>200</v>
      </c>
      <c r="J1574" s="44" t="s">
        <v>199</v>
      </c>
    </row>
    <row r="1575" spans="1:10" ht="12.75">
      <c r="A1575" s="42"/>
      <c r="B1575" s="79"/>
      <c r="C1575" s="85"/>
      <c r="D1575" s="45"/>
      <c r="E1575" s="45"/>
      <c r="F1575" s="46"/>
      <c r="G1575" s="45"/>
      <c r="H1575" s="46"/>
      <c r="I1575" s="45"/>
      <c r="J1575" s="47"/>
    </row>
    <row r="1576" spans="1:10" ht="12.75">
      <c r="B1576" s="82">
        <v>1</v>
      </c>
      <c r="C1576" s="60" t="s">
        <v>209</v>
      </c>
      <c r="D1576" s="48" t="s">
        <v>202</v>
      </c>
      <c r="E1576" s="48"/>
      <c r="F1576" s="69">
        <v>45989</v>
      </c>
      <c r="G1576" s="48" t="s">
        <v>113</v>
      </c>
      <c r="H1576" s="49"/>
      <c r="I1576" s="48" t="s">
        <v>139</v>
      </c>
      <c r="J1576" s="49">
        <v>350000</v>
      </c>
    </row>
    <row r="1577" spans="1:10" ht="12.75">
      <c r="B1577" s="82"/>
      <c r="C1577" s="60"/>
      <c r="D1577" s="48"/>
      <c r="E1577" s="48"/>
      <c r="F1577" s="49"/>
      <c r="G1577" s="48"/>
      <c r="H1577" s="49"/>
      <c r="I1577" s="48"/>
      <c r="J1577" s="49"/>
    </row>
    <row r="1578" spans="1:10" ht="12.75">
      <c r="A1578" s="42"/>
      <c r="B1578" s="82"/>
      <c r="C1578" s="60"/>
      <c r="D1578" s="48"/>
      <c r="E1578" s="48"/>
      <c r="F1578" s="69"/>
      <c r="G1578" s="48"/>
      <c r="H1578" s="49"/>
      <c r="I1578" s="48"/>
      <c r="J1578" s="49"/>
    </row>
    <row r="1579" spans="1:10" ht="12.75">
      <c r="A1579" s="42"/>
      <c r="B1579" s="82"/>
      <c r="C1579" s="60"/>
      <c r="D1579" s="48"/>
      <c r="E1579" s="48"/>
      <c r="F1579" s="49"/>
      <c r="G1579" s="48"/>
      <c r="H1579" s="49"/>
      <c r="I1579" s="48"/>
      <c r="J1579" s="49"/>
    </row>
    <row r="1580" spans="1:10" ht="12.75">
      <c r="B1580" s="82"/>
      <c r="C1580" s="60"/>
      <c r="D1580" s="48"/>
      <c r="E1580" s="48"/>
      <c r="F1580" s="69"/>
      <c r="G1580" s="48"/>
      <c r="H1580" s="49"/>
      <c r="I1580" s="48"/>
      <c r="J1580" s="49"/>
    </row>
    <row r="1581" spans="1:10" ht="12.75">
      <c r="B1581" s="82"/>
      <c r="C1581" s="60"/>
      <c r="D1581" s="48"/>
      <c r="E1581" s="48"/>
      <c r="F1581" s="49"/>
      <c r="G1581" s="48"/>
      <c r="H1581" s="49"/>
      <c r="I1581" s="48"/>
      <c r="J1581" s="49"/>
    </row>
    <row r="1582" spans="1:10" ht="12.75">
      <c r="A1582" s="42"/>
      <c r="B1582" s="82"/>
      <c r="C1582" s="60"/>
      <c r="D1582" s="48"/>
      <c r="E1582" s="48"/>
      <c r="F1582" s="69"/>
      <c r="G1582" s="48"/>
      <c r="H1582" s="49"/>
      <c r="I1582" s="48"/>
      <c r="J1582" s="49"/>
    </row>
    <row r="1583" spans="1:10" ht="12.75">
      <c r="A1583" s="42"/>
      <c r="B1583" s="80"/>
      <c r="C1583" s="86"/>
      <c r="D1583" s="48"/>
      <c r="E1583" s="48"/>
      <c r="F1583" s="49"/>
      <c r="G1583" s="48"/>
      <c r="H1583" s="49"/>
      <c r="I1583" s="48"/>
      <c r="J1583" s="49"/>
    </row>
    <row r="1584" spans="1:10" ht="12.75">
      <c r="B1584" s="80"/>
      <c r="C1584" s="60"/>
      <c r="D1584" s="48"/>
      <c r="E1584" s="48"/>
      <c r="F1584" s="69"/>
      <c r="G1584" s="48"/>
      <c r="H1584" s="49"/>
      <c r="I1584" s="48"/>
      <c r="J1584" s="49"/>
    </row>
    <row r="1585" spans="1:10" ht="12.75">
      <c r="A1585" s="42"/>
      <c r="B1585" s="80"/>
      <c r="C1585" s="86"/>
      <c r="D1585" s="48"/>
      <c r="E1585" s="48"/>
      <c r="F1585" s="49"/>
      <c r="G1585" s="48"/>
      <c r="H1585" s="49"/>
      <c r="I1585" s="48"/>
      <c r="J1585" s="49"/>
    </row>
    <row r="1586" spans="1:10" ht="12.75">
      <c r="A1586" s="42"/>
      <c r="B1586" s="80"/>
      <c r="C1586" s="60"/>
      <c r="D1586" s="48"/>
      <c r="E1586" s="48"/>
      <c r="F1586" s="69"/>
      <c r="G1586" s="48"/>
      <c r="H1586" s="49"/>
      <c r="I1586" s="48"/>
      <c r="J1586" s="49"/>
    </row>
    <row r="1587" spans="1:10" ht="12.75">
      <c r="A1587" s="42"/>
      <c r="B1587" s="80"/>
      <c r="C1587" s="86"/>
      <c r="D1587" s="48"/>
      <c r="E1587" s="48"/>
      <c r="F1587" s="49"/>
      <c r="G1587" s="48"/>
      <c r="H1587" s="49"/>
      <c r="I1587" s="48"/>
      <c r="J1587" s="49"/>
    </row>
    <row r="1588" spans="1:10" ht="12.75">
      <c r="A1588" s="42"/>
      <c r="B1588" s="80"/>
      <c r="C1588" s="86"/>
      <c r="D1588" s="48"/>
      <c r="E1588" s="48"/>
      <c r="F1588" s="49"/>
      <c r="G1588" s="48"/>
      <c r="H1588" s="49"/>
      <c r="I1588" s="48"/>
      <c r="J1588" s="49"/>
    </row>
    <row r="1589" spans="1:10" ht="12.75">
      <c r="A1589" s="42"/>
      <c r="B1589" s="80"/>
      <c r="C1589" s="86"/>
      <c r="D1589" s="48"/>
      <c r="E1589" s="48"/>
      <c r="F1589" s="49"/>
      <c r="G1589" s="48"/>
      <c r="H1589" s="49"/>
      <c r="I1589" s="48"/>
      <c r="J1589" s="49"/>
    </row>
    <row r="1590" spans="1:10" ht="12.75">
      <c r="A1590" s="42"/>
      <c r="B1590" s="80"/>
      <c r="C1590" s="86"/>
      <c r="D1590" s="48"/>
      <c r="E1590" s="48"/>
      <c r="F1590" s="49"/>
      <c r="G1590" s="48"/>
      <c r="H1590" s="49"/>
      <c r="I1590" s="48"/>
      <c r="J1590" s="49"/>
    </row>
    <row r="1591" spans="1:10" ht="12.75">
      <c r="A1591" s="42"/>
      <c r="B1591" s="80"/>
      <c r="C1591" s="86"/>
      <c r="D1591" s="48"/>
      <c r="E1591" s="48"/>
      <c r="F1591" s="49"/>
      <c r="G1591" s="48"/>
      <c r="H1591" s="49"/>
      <c r="I1591" s="48"/>
      <c r="J1591" s="49"/>
    </row>
    <row r="1592" spans="1:10" ht="12.75">
      <c r="A1592" s="42"/>
      <c r="B1592" s="80"/>
      <c r="C1592" s="86"/>
      <c r="D1592" s="48"/>
      <c r="E1592" s="48"/>
      <c r="F1592" s="49"/>
      <c r="G1592" s="48"/>
      <c r="H1592" s="49"/>
      <c r="I1592" s="48"/>
      <c r="J1592" s="49"/>
    </row>
    <row r="1593" spans="1:10" ht="12.75">
      <c r="A1593" s="42"/>
      <c r="B1593" s="80"/>
      <c r="C1593" s="86"/>
      <c r="D1593" s="48"/>
      <c r="E1593" s="48"/>
      <c r="F1593" s="49"/>
      <c r="G1593" s="48"/>
      <c r="H1593" s="49"/>
      <c r="I1593" s="48"/>
      <c r="J1593" s="49"/>
    </row>
    <row r="1594" spans="1:10" ht="12.75">
      <c r="A1594" s="42"/>
      <c r="B1594" s="80"/>
      <c r="C1594" s="86"/>
      <c r="D1594" s="48"/>
      <c r="E1594" s="48"/>
      <c r="F1594" s="49"/>
      <c r="G1594" s="48"/>
      <c r="H1594" s="49"/>
      <c r="I1594" s="48"/>
      <c r="J1594" s="49"/>
    </row>
    <row r="1595" spans="1:10" ht="12.75">
      <c r="A1595" s="42"/>
      <c r="B1595" s="80"/>
      <c r="C1595" s="86"/>
      <c r="D1595" s="48"/>
      <c r="E1595" s="48"/>
      <c r="F1595" s="49"/>
      <c r="G1595" s="48"/>
      <c r="H1595" s="49"/>
      <c r="I1595" s="48"/>
      <c r="J1595" s="49"/>
    </row>
    <row r="1596" spans="1:10" ht="12.75">
      <c r="A1596" s="42"/>
      <c r="B1596" s="80"/>
      <c r="C1596" s="86"/>
      <c r="D1596" s="48"/>
      <c r="E1596" s="48"/>
      <c r="F1596" s="49"/>
      <c r="G1596" s="48"/>
      <c r="H1596" s="49"/>
      <c r="I1596" s="48"/>
      <c r="J1596" s="49"/>
    </row>
    <row r="1597" spans="1:10" ht="12.75">
      <c r="A1597" s="42"/>
      <c r="B1597" s="80"/>
      <c r="C1597" s="86"/>
      <c r="D1597" s="48"/>
      <c r="E1597" s="48"/>
      <c r="F1597" s="49"/>
      <c r="G1597" s="48"/>
      <c r="H1597" s="49"/>
      <c r="I1597" s="48"/>
      <c r="J1597" s="49"/>
    </row>
    <row r="1598" spans="1:10" ht="12.75">
      <c r="A1598" s="42"/>
      <c r="B1598" s="80"/>
      <c r="C1598" s="86"/>
      <c r="D1598" s="48"/>
      <c r="E1598" s="48"/>
      <c r="F1598" s="49"/>
      <c r="G1598" s="48"/>
      <c r="H1598" s="49"/>
      <c r="I1598" s="48"/>
      <c r="J1598" s="49"/>
    </row>
    <row r="1599" spans="1:10" ht="12.75">
      <c r="A1599" s="42"/>
      <c r="B1599" s="80"/>
      <c r="C1599" s="86"/>
      <c r="D1599" s="48"/>
      <c r="E1599" s="48"/>
      <c r="F1599" s="49"/>
      <c r="G1599" s="48"/>
      <c r="H1599" s="49"/>
      <c r="I1599" s="48"/>
      <c r="J1599" s="49"/>
    </row>
    <row r="1600" spans="1:10" ht="12.75">
      <c r="A1600" s="42"/>
      <c r="B1600" s="80"/>
      <c r="C1600" s="86"/>
      <c r="D1600" s="48"/>
      <c r="E1600" s="48"/>
      <c r="F1600" s="49"/>
      <c r="G1600" s="48"/>
      <c r="H1600" s="49"/>
      <c r="I1600" s="48"/>
      <c r="J1600" s="49"/>
    </row>
    <row r="1601" spans="1:10" ht="12.75">
      <c r="A1601" s="42"/>
      <c r="B1601" s="80"/>
      <c r="C1601" s="86"/>
      <c r="D1601" s="48"/>
      <c r="E1601" s="48"/>
      <c r="F1601" s="49"/>
      <c r="G1601" s="48"/>
      <c r="H1601" s="49"/>
      <c r="I1601" s="48"/>
      <c r="J1601" s="49"/>
    </row>
    <row r="1602" spans="1:10" ht="12.75">
      <c r="A1602" s="42" t="s">
        <v>207</v>
      </c>
      <c r="B1602" s="80"/>
      <c r="C1602" s="86"/>
      <c r="D1602" s="48"/>
      <c r="E1602" s="48"/>
      <c r="F1602" s="49"/>
      <c r="G1602" s="48"/>
      <c r="H1602" s="49"/>
      <c r="I1602" s="48"/>
      <c r="J1602" s="49">
        <f>SUM(J1576:J1601)</f>
        <v>350000</v>
      </c>
    </row>
    <row r="1603" spans="1:10" ht="12.75">
      <c r="A1603" s="43"/>
      <c r="B1603" s="80"/>
      <c r="C1603" s="86"/>
      <c r="D1603" s="48"/>
      <c r="E1603" s="48"/>
      <c r="F1603" s="49"/>
      <c r="G1603" s="48"/>
      <c r="H1603" s="49"/>
      <c r="I1603" s="48"/>
      <c r="J1603" s="49"/>
    </row>
    <row r="1604" spans="1:10" ht="12.75">
      <c r="A1604" s="43"/>
      <c r="B1604" s="84"/>
      <c r="C1604" s="88"/>
      <c r="D1604" s="54"/>
      <c r="E1604" s="54"/>
      <c r="F1604" s="55"/>
      <c r="G1604" s="54"/>
      <c r="H1604" s="55"/>
      <c r="I1604" s="54"/>
      <c r="J1604" s="55"/>
    </row>
    <row r="1605" spans="1:10" ht="12.75"/>
    <row r="1606" spans="1:10" ht="12.75"/>
    <row r="1607" spans="1:10" ht="12.75">
      <c r="A1607" s="41" t="s">
        <v>204</v>
      </c>
      <c r="B1607" s="41"/>
      <c r="C1607" s="41"/>
      <c r="D1607" s="41"/>
      <c r="E1607" s="41"/>
      <c r="F1607" s="41"/>
    </row>
    <row r="1608" spans="1:10" ht="12.75"/>
    <row r="1609" spans="1:10" ht="12.75"/>
    <row r="1610" spans="1:10" ht="12.75">
      <c r="A1610" s="42" t="s">
        <v>188</v>
      </c>
      <c r="B1610" s="42" t="s">
        <v>189</v>
      </c>
      <c r="C1610" s="42"/>
      <c r="D1610" s="42"/>
      <c r="E1610" s="42"/>
      <c r="F1610" s="42"/>
      <c r="G1610" s="43" t="s">
        <v>113</v>
      </c>
      <c r="H1610" s="42" t="s">
        <v>205</v>
      </c>
      <c r="I1610" s="42" t="s">
        <v>210</v>
      </c>
      <c r="J1610" s="43"/>
    </row>
    <row r="1611" spans="1:10" ht="12.75">
      <c r="A1611" s="42" t="s">
        <v>191</v>
      </c>
      <c r="B1611" s="89">
        <v>45989</v>
      </c>
      <c r="C1611" s="42"/>
      <c r="D1611" s="42"/>
      <c r="E1611" s="42"/>
      <c r="F1611" s="42"/>
      <c r="G1611" s="43"/>
      <c r="H1611" s="42" t="s">
        <v>192</v>
      </c>
      <c r="I1611" s="91" t="s">
        <v>154</v>
      </c>
      <c r="J1611" s="43"/>
    </row>
    <row r="1612" spans="1:10" ht="12.75">
      <c r="A1612" s="42"/>
      <c r="B1612" s="42"/>
      <c r="C1612" s="42"/>
      <c r="D1612" s="42"/>
      <c r="E1612" s="42"/>
      <c r="F1612" s="42"/>
      <c r="G1612" s="43"/>
      <c r="H1612" s="43"/>
      <c r="I1612" s="43"/>
      <c r="J1612" s="43"/>
    </row>
    <row r="1613" spans="1:10" ht="12.75">
      <c r="A1613" s="42"/>
      <c r="B1613" s="44" t="s">
        <v>193</v>
      </c>
      <c r="C1613" s="44" t="s">
        <v>194</v>
      </c>
      <c r="D1613" s="44" t="s">
        <v>195</v>
      </c>
      <c r="E1613" s="44" t="s">
        <v>196</v>
      </c>
      <c r="F1613" s="44" t="s">
        <v>197</v>
      </c>
      <c r="G1613" s="44" t="s">
        <v>198</v>
      </c>
      <c r="H1613" s="44" t="s">
        <v>199</v>
      </c>
      <c r="I1613" s="44" t="s">
        <v>200</v>
      </c>
      <c r="J1613" s="44" t="s">
        <v>199</v>
      </c>
    </row>
    <row r="1614" spans="1:10" ht="12.75">
      <c r="A1614" s="42"/>
      <c r="B1614" s="79"/>
      <c r="C1614" s="85"/>
      <c r="D1614" s="45"/>
      <c r="E1614" s="45"/>
      <c r="F1614" s="46"/>
      <c r="G1614" s="45"/>
      <c r="H1614" s="46"/>
      <c r="I1614" s="45"/>
      <c r="J1614" s="47"/>
    </row>
    <row r="1615" spans="1:10" ht="12.75">
      <c r="B1615" s="82">
        <v>1</v>
      </c>
      <c r="C1615" s="60" t="s">
        <v>209</v>
      </c>
      <c r="D1615" s="48" t="s">
        <v>202</v>
      </c>
      <c r="E1615" s="48"/>
      <c r="F1615" s="69">
        <v>45989</v>
      </c>
      <c r="G1615" s="48" t="s">
        <v>113</v>
      </c>
      <c r="H1615" s="49"/>
      <c r="I1615" s="48" t="s">
        <v>139</v>
      </c>
      <c r="J1615" s="49">
        <v>50000</v>
      </c>
    </row>
    <row r="1616" spans="1:10" ht="12.75">
      <c r="B1616" s="82"/>
      <c r="C1616" s="60"/>
      <c r="D1616" s="48"/>
      <c r="E1616" s="48"/>
      <c r="F1616" s="49"/>
      <c r="G1616" s="48"/>
      <c r="H1616" s="49"/>
      <c r="I1616" s="48"/>
      <c r="J1616" s="49"/>
    </row>
    <row r="1617" spans="1:10" ht="12.75">
      <c r="A1617" s="42"/>
      <c r="B1617" s="82"/>
      <c r="C1617" s="60"/>
      <c r="D1617" s="48"/>
      <c r="E1617" s="48"/>
      <c r="F1617" s="69"/>
      <c r="G1617" s="48"/>
      <c r="H1617" s="49"/>
      <c r="I1617" s="48" t="s">
        <v>113</v>
      </c>
      <c r="J1617" s="49" t="s">
        <v>113</v>
      </c>
    </row>
    <row r="1618" spans="1:10" ht="12.75">
      <c r="A1618" s="42"/>
      <c r="B1618" s="82"/>
      <c r="C1618" s="60"/>
      <c r="D1618" s="48"/>
      <c r="E1618" s="48"/>
      <c r="F1618" s="49"/>
      <c r="G1618" s="48"/>
      <c r="H1618" s="49"/>
      <c r="I1618" s="48"/>
      <c r="J1618" s="49"/>
    </row>
    <row r="1619" spans="1:10" ht="12.75">
      <c r="B1619" s="82"/>
      <c r="C1619" s="60"/>
      <c r="D1619" s="48"/>
      <c r="E1619" s="48"/>
      <c r="F1619" s="69"/>
      <c r="G1619" s="48"/>
      <c r="H1619" s="49"/>
      <c r="I1619" s="48"/>
      <c r="J1619" s="49"/>
    </row>
    <row r="1620" spans="1:10" ht="12.75">
      <c r="B1620" s="82"/>
      <c r="C1620" s="60"/>
      <c r="D1620" s="48"/>
      <c r="E1620" s="48"/>
      <c r="F1620" s="49"/>
      <c r="G1620" s="48"/>
      <c r="H1620" s="49"/>
      <c r="I1620" s="48"/>
      <c r="J1620" s="49"/>
    </row>
    <row r="1621" spans="1:10" ht="12.75">
      <c r="A1621" s="42"/>
      <c r="B1621" s="82"/>
      <c r="C1621" s="60"/>
      <c r="D1621" s="48"/>
      <c r="E1621" s="48"/>
      <c r="F1621" s="69"/>
      <c r="G1621" s="48"/>
      <c r="H1621" s="49"/>
      <c r="I1621" s="48"/>
      <c r="J1621" s="49"/>
    </row>
    <row r="1622" spans="1:10" ht="12.75">
      <c r="A1622" s="42"/>
      <c r="B1622" s="80"/>
      <c r="C1622" s="86"/>
      <c r="D1622" s="48"/>
      <c r="E1622" s="48"/>
      <c r="F1622" s="49"/>
      <c r="G1622" s="48"/>
      <c r="H1622" s="49"/>
      <c r="I1622" s="48"/>
      <c r="J1622" s="49"/>
    </row>
    <row r="1623" spans="1:10" ht="12.75">
      <c r="B1623" s="80"/>
      <c r="C1623" s="60"/>
      <c r="D1623" s="48"/>
      <c r="E1623" s="48"/>
      <c r="F1623" s="69"/>
      <c r="G1623" s="48"/>
      <c r="H1623" s="49"/>
      <c r="I1623" s="48"/>
      <c r="J1623" s="49"/>
    </row>
    <row r="1624" spans="1:10" ht="12.75">
      <c r="A1624" s="42"/>
      <c r="B1624" s="80"/>
      <c r="C1624" s="86"/>
      <c r="D1624" s="48"/>
      <c r="E1624" s="48"/>
      <c r="F1624" s="49"/>
      <c r="G1624" s="48"/>
      <c r="H1624" s="49"/>
      <c r="I1624" s="48"/>
      <c r="J1624" s="49"/>
    </row>
    <row r="1625" spans="1:10" ht="12.75">
      <c r="A1625" s="42"/>
      <c r="B1625" s="80"/>
      <c r="C1625" s="60"/>
      <c r="D1625" s="48"/>
      <c r="E1625" s="48"/>
      <c r="F1625" s="69"/>
      <c r="G1625" s="48"/>
      <c r="H1625" s="49"/>
      <c r="I1625" s="48"/>
      <c r="J1625" s="49"/>
    </row>
    <row r="1626" spans="1:10" ht="12.75">
      <c r="A1626" s="42"/>
      <c r="B1626" s="80"/>
      <c r="C1626" s="86"/>
      <c r="D1626" s="48"/>
      <c r="E1626" s="48"/>
      <c r="F1626" s="49"/>
      <c r="G1626" s="48"/>
      <c r="H1626" s="49"/>
      <c r="I1626" s="48"/>
      <c r="J1626" s="49"/>
    </row>
    <row r="1627" spans="1:10" ht="12.75">
      <c r="A1627" s="42"/>
      <c r="B1627" s="80"/>
      <c r="C1627" s="86"/>
      <c r="D1627" s="48"/>
      <c r="E1627" s="48"/>
      <c r="F1627" s="49"/>
      <c r="G1627" s="48"/>
      <c r="H1627" s="49"/>
      <c r="I1627" s="48"/>
      <c r="J1627" s="49"/>
    </row>
    <row r="1628" spans="1:10" ht="12.75">
      <c r="A1628" s="42"/>
      <c r="B1628" s="80"/>
      <c r="C1628" s="86"/>
      <c r="D1628" s="48"/>
      <c r="E1628" s="48"/>
      <c r="F1628" s="49"/>
      <c r="G1628" s="48"/>
      <c r="H1628" s="49"/>
      <c r="I1628" s="48"/>
      <c r="J1628" s="49"/>
    </row>
    <row r="1629" spans="1:10" ht="12.75">
      <c r="A1629" s="42"/>
      <c r="B1629" s="80"/>
      <c r="C1629" s="86"/>
      <c r="D1629" s="48"/>
      <c r="E1629" s="48"/>
      <c r="F1629" s="49"/>
      <c r="G1629" s="48"/>
      <c r="H1629" s="49"/>
      <c r="I1629" s="48"/>
      <c r="J1629" s="49"/>
    </row>
    <row r="1630" spans="1:10" ht="12.75">
      <c r="A1630" s="42"/>
      <c r="B1630" s="80"/>
      <c r="C1630" s="86"/>
      <c r="D1630" s="48"/>
      <c r="E1630" s="48"/>
      <c r="F1630" s="49"/>
      <c r="G1630" s="48"/>
      <c r="H1630" s="49"/>
      <c r="I1630" s="48"/>
      <c r="J1630" s="49"/>
    </row>
    <row r="1631" spans="1:10" ht="12.75">
      <c r="A1631" s="42"/>
      <c r="B1631" s="80"/>
      <c r="C1631" s="86"/>
      <c r="D1631" s="48"/>
      <c r="E1631" s="48"/>
      <c r="F1631" s="49"/>
      <c r="G1631" s="48"/>
      <c r="H1631" s="49"/>
      <c r="I1631" s="48"/>
      <c r="J1631" s="49"/>
    </row>
    <row r="1632" spans="1:10" ht="12.75">
      <c r="A1632" s="42"/>
      <c r="B1632" s="80"/>
      <c r="C1632" s="86"/>
      <c r="D1632" s="48"/>
      <c r="E1632" s="48"/>
      <c r="F1632" s="49"/>
      <c r="G1632" s="48"/>
      <c r="H1632" s="49"/>
      <c r="I1632" s="48"/>
      <c r="J1632" s="49"/>
    </row>
    <row r="1633" spans="1:10" ht="12.75">
      <c r="A1633" s="42"/>
      <c r="B1633" s="80"/>
      <c r="C1633" s="86"/>
      <c r="D1633" s="48"/>
      <c r="E1633" s="48"/>
      <c r="F1633" s="49"/>
      <c r="G1633" s="48"/>
      <c r="H1633" s="49"/>
      <c r="I1633" s="48"/>
      <c r="J1633" s="49"/>
    </row>
    <row r="1634" spans="1:10" ht="12.75">
      <c r="A1634" s="42"/>
      <c r="B1634" s="80"/>
      <c r="C1634" s="86"/>
      <c r="D1634" s="48"/>
      <c r="E1634" s="48"/>
      <c r="F1634" s="49"/>
      <c r="G1634" s="48"/>
      <c r="H1634" s="49"/>
      <c r="I1634" s="48"/>
      <c r="J1634" s="49"/>
    </row>
    <row r="1635" spans="1:10" ht="12.75">
      <c r="A1635" s="42"/>
      <c r="B1635" s="80"/>
      <c r="C1635" s="86"/>
      <c r="D1635" s="48"/>
      <c r="E1635" s="48"/>
      <c r="F1635" s="49"/>
      <c r="G1635" s="48"/>
      <c r="H1635" s="49"/>
      <c r="I1635" s="48"/>
      <c r="J1635" s="49"/>
    </row>
    <row r="1636" spans="1:10" ht="12.75">
      <c r="A1636" s="42"/>
      <c r="B1636" s="80"/>
      <c r="C1636" s="86"/>
      <c r="D1636" s="48"/>
      <c r="E1636" s="48"/>
      <c r="F1636" s="49"/>
      <c r="G1636" s="48"/>
      <c r="H1636" s="49"/>
      <c r="I1636" s="48"/>
      <c r="J1636" s="49"/>
    </row>
    <row r="1637" spans="1:10" ht="12.75">
      <c r="A1637" s="42"/>
      <c r="B1637" s="80"/>
      <c r="C1637" s="86"/>
      <c r="D1637" s="48"/>
      <c r="E1637" s="48"/>
      <c r="F1637" s="49"/>
      <c r="G1637" s="48"/>
      <c r="H1637" s="49"/>
      <c r="I1637" s="48"/>
      <c r="J1637" s="49"/>
    </row>
    <row r="1638" spans="1:10" ht="12.75">
      <c r="A1638" s="42"/>
      <c r="B1638" s="80"/>
      <c r="C1638" s="86"/>
      <c r="D1638" s="48"/>
      <c r="E1638" s="48"/>
      <c r="F1638" s="49"/>
      <c r="G1638" s="48"/>
      <c r="H1638" s="49"/>
      <c r="I1638" s="48"/>
      <c r="J1638" s="49"/>
    </row>
    <row r="1639" spans="1:10" ht="12.75">
      <c r="A1639" s="42"/>
      <c r="B1639" s="80"/>
      <c r="C1639" s="86"/>
      <c r="D1639" s="48"/>
      <c r="E1639" s="48"/>
      <c r="F1639" s="49"/>
      <c r="G1639" s="48"/>
      <c r="H1639" s="49"/>
      <c r="I1639" s="48"/>
      <c r="J1639" s="49"/>
    </row>
    <row r="1640" spans="1:10" ht="12.75">
      <c r="A1640" s="42"/>
      <c r="B1640" s="80"/>
      <c r="C1640" s="86"/>
      <c r="D1640" s="48"/>
      <c r="E1640" s="48"/>
      <c r="F1640" s="49"/>
      <c r="G1640" s="48"/>
      <c r="H1640" s="49"/>
      <c r="I1640" s="48"/>
      <c r="J1640" s="49"/>
    </row>
    <row r="1641" spans="1:10" ht="12.75">
      <c r="A1641" s="42" t="s">
        <v>207</v>
      </c>
      <c r="B1641" s="80"/>
      <c r="C1641" s="86"/>
      <c r="D1641" s="48"/>
      <c r="E1641" s="48"/>
      <c r="F1641" s="49"/>
      <c r="G1641" s="48"/>
      <c r="H1641" s="49">
        <f>SUM(H1615:H1640)</f>
        <v>0</v>
      </c>
      <c r="I1641" s="48"/>
      <c r="J1641" s="49">
        <f>SUM(J1615:J1640)</f>
        <v>50000</v>
      </c>
    </row>
    <row r="1642" spans="1:10" ht="12.75">
      <c r="A1642" s="43"/>
      <c r="B1642" s="80"/>
      <c r="C1642" s="86"/>
      <c r="D1642" s="48"/>
      <c r="E1642" s="48"/>
      <c r="F1642" s="49"/>
      <c r="G1642" s="48"/>
      <c r="H1642" s="49"/>
      <c r="I1642" s="48"/>
      <c r="J1642" s="49"/>
    </row>
    <row r="1643" spans="1:10" ht="12.75">
      <c r="A1643" s="43"/>
      <c r="B1643" s="84"/>
      <c r="C1643" s="88"/>
      <c r="D1643" s="54"/>
      <c r="E1643" s="54"/>
      <c r="F1643" s="55"/>
      <c r="G1643" s="54"/>
      <c r="H1643" s="55"/>
      <c r="I1643" s="54"/>
      <c r="J1643" s="55"/>
    </row>
    <row r="1644" spans="1:10" ht="12.75"/>
    <row r="1645" spans="1:10" ht="12.75"/>
    <row r="1646" spans="1:10" ht="12.75"/>
    <row r="1647" spans="1:10" ht="12.75">
      <c r="A1647" s="41" t="s">
        <v>187</v>
      </c>
      <c r="B1647" s="41"/>
      <c r="C1647" s="41"/>
      <c r="D1647" s="41"/>
      <c r="E1647" s="41"/>
      <c r="F1647" s="41"/>
    </row>
    <row r="1648" spans="1:10" ht="12.75">
      <c r="F1648" s="68" t="s">
        <v>113</v>
      </c>
    </row>
    <row r="1649" spans="1:10" ht="12.75"/>
    <row r="1650" spans="1:10" ht="12.75">
      <c r="A1650" s="42" t="s">
        <v>188</v>
      </c>
      <c r="B1650" s="42" t="s">
        <v>189</v>
      </c>
      <c r="C1650" s="42"/>
      <c r="D1650" s="42"/>
      <c r="E1650" s="42"/>
      <c r="F1650" s="42"/>
      <c r="G1650" s="43" t="s">
        <v>113</v>
      </c>
      <c r="H1650" s="42" t="s">
        <v>175</v>
      </c>
      <c r="I1650" s="90" t="s">
        <v>190</v>
      </c>
      <c r="J1650" s="43"/>
    </row>
    <row r="1651" spans="1:10" ht="12.75">
      <c r="A1651" s="42" t="s">
        <v>191</v>
      </c>
      <c r="B1651" s="89">
        <v>45993</v>
      </c>
      <c r="C1651" s="42"/>
      <c r="D1651" s="42"/>
      <c r="E1651" s="42"/>
      <c r="F1651" s="42"/>
      <c r="G1651" s="43"/>
      <c r="H1651" s="42" t="s">
        <v>192</v>
      </c>
      <c r="I1651" s="91" t="s">
        <v>109</v>
      </c>
      <c r="J1651" s="43"/>
    </row>
    <row r="1652" spans="1:10" ht="12.75">
      <c r="A1652" s="42"/>
      <c r="B1652" s="42"/>
      <c r="C1652" s="42"/>
      <c r="D1652" s="42"/>
      <c r="E1652" s="42"/>
      <c r="F1652" s="42"/>
      <c r="G1652" s="43"/>
      <c r="H1652" s="43"/>
      <c r="I1652" s="43"/>
      <c r="J1652" s="43"/>
    </row>
    <row r="1653" spans="1:10" ht="12.75">
      <c r="A1653" s="42"/>
      <c r="B1653" s="44" t="s">
        <v>193</v>
      </c>
      <c r="C1653" s="44" t="s">
        <v>194</v>
      </c>
      <c r="D1653" s="44" t="s">
        <v>195</v>
      </c>
      <c r="E1653" s="44" t="s">
        <v>196</v>
      </c>
      <c r="F1653" s="44" t="s">
        <v>197</v>
      </c>
      <c r="G1653" s="44" t="s">
        <v>198</v>
      </c>
      <c r="H1653" s="44" t="s">
        <v>199</v>
      </c>
      <c r="I1653" s="44" t="s">
        <v>200</v>
      </c>
      <c r="J1653" s="44" t="s">
        <v>199</v>
      </c>
    </row>
    <row r="1654" spans="1:10" ht="12.75">
      <c r="A1654" s="42"/>
      <c r="B1654" s="79"/>
      <c r="C1654" s="85"/>
      <c r="D1654" s="45"/>
      <c r="E1654" s="45"/>
      <c r="F1654" s="46"/>
      <c r="G1654" s="45"/>
      <c r="H1654" s="46"/>
      <c r="I1654" s="45"/>
      <c r="J1654" s="47"/>
    </row>
    <row r="1655" spans="1:10" ht="12.75">
      <c r="B1655" s="80">
        <v>1</v>
      </c>
      <c r="C1655" s="86" t="s">
        <v>201</v>
      </c>
      <c r="D1655" s="48" t="s">
        <v>202</v>
      </c>
      <c r="E1655" s="48"/>
      <c r="F1655" s="69">
        <v>45993</v>
      </c>
      <c r="G1655" s="48" t="s">
        <v>125</v>
      </c>
      <c r="H1655" s="49">
        <v>405103</v>
      </c>
      <c r="I1655" s="48" t="s">
        <v>113</v>
      </c>
      <c r="J1655" s="49" t="s">
        <v>113</v>
      </c>
    </row>
    <row r="1656" spans="1:10" ht="12.75">
      <c r="A1656" s="42"/>
      <c r="B1656" s="80"/>
      <c r="C1656" s="86"/>
      <c r="D1656" s="48"/>
      <c r="E1656" s="48"/>
      <c r="F1656" s="49"/>
      <c r="G1656" s="48"/>
      <c r="H1656" s="49"/>
      <c r="I1656" s="48"/>
      <c r="J1656" s="49"/>
    </row>
    <row r="1657" spans="1:10" ht="12.75">
      <c r="B1657" s="81"/>
      <c r="C1657" s="59"/>
      <c r="D1657" s="48"/>
      <c r="E1657" s="48"/>
      <c r="F1657" s="69"/>
      <c r="G1657" s="48"/>
      <c r="H1657" s="49"/>
      <c r="I1657" s="48"/>
      <c r="J1657" s="49"/>
    </row>
    <row r="1658" spans="1:10" ht="12.75">
      <c r="B1658" s="81"/>
      <c r="C1658" s="59"/>
      <c r="D1658" s="48"/>
      <c r="E1658" s="48"/>
      <c r="F1658" s="49"/>
      <c r="G1658" s="48"/>
      <c r="H1658" s="49"/>
      <c r="I1658" s="48"/>
      <c r="J1658" s="49"/>
    </row>
    <row r="1659" spans="1:10" ht="12.75">
      <c r="A1659" s="42"/>
      <c r="B1659" s="81"/>
      <c r="C1659" s="104"/>
      <c r="D1659" s="48"/>
      <c r="E1659" s="48"/>
      <c r="F1659" s="69"/>
      <c r="G1659" s="48"/>
      <c r="H1659" s="49"/>
      <c r="I1659" s="48"/>
      <c r="J1659" s="49"/>
    </row>
    <row r="1660" spans="1:10" ht="12.75">
      <c r="A1660" s="42"/>
      <c r="B1660" s="81"/>
      <c r="C1660" s="59"/>
      <c r="D1660" s="48"/>
      <c r="E1660" s="48"/>
      <c r="F1660" s="49"/>
      <c r="G1660" s="48"/>
      <c r="H1660" s="49"/>
      <c r="I1660" s="48"/>
      <c r="J1660" s="49"/>
    </row>
    <row r="1661" spans="1:10" ht="12.75">
      <c r="A1661" s="42"/>
      <c r="B1661" s="82"/>
      <c r="C1661" s="60"/>
      <c r="D1661" s="48"/>
      <c r="E1661" s="48"/>
      <c r="F1661" s="69"/>
      <c r="G1661" s="48"/>
      <c r="H1661" s="49"/>
      <c r="I1661" s="48"/>
      <c r="J1661" s="49"/>
    </row>
    <row r="1662" spans="1:10" ht="12.75">
      <c r="B1662" s="80"/>
      <c r="C1662" s="86"/>
      <c r="D1662" s="48"/>
      <c r="E1662" s="48"/>
      <c r="F1662" s="49"/>
      <c r="G1662" s="48"/>
      <c r="H1662" s="49"/>
      <c r="I1662" s="48"/>
      <c r="J1662" s="49"/>
    </row>
    <row r="1663" spans="1:10" ht="12.75">
      <c r="A1663" s="42"/>
      <c r="B1663" s="80"/>
      <c r="C1663" s="86"/>
      <c r="D1663" s="48"/>
      <c r="E1663" s="48"/>
      <c r="F1663" s="49"/>
      <c r="G1663" s="48"/>
      <c r="H1663" s="49"/>
      <c r="I1663" s="48"/>
      <c r="J1663" s="49"/>
    </row>
    <row r="1664" spans="1:10" ht="12.75">
      <c r="A1664" s="42"/>
      <c r="B1664" s="80"/>
      <c r="C1664" s="86"/>
      <c r="D1664" s="48"/>
      <c r="E1664" s="48"/>
      <c r="F1664" s="49"/>
      <c r="G1664" s="48"/>
      <c r="H1664" s="49"/>
      <c r="I1664" s="48"/>
      <c r="J1664" s="49"/>
    </row>
    <row r="1665" spans="1:11" ht="12.75">
      <c r="A1665" s="42"/>
      <c r="B1665" s="80"/>
      <c r="C1665" s="86"/>
      <c r="D1665" s="48"/>
      <c r="E1665" s="48"/>
      <c r="F1665" s="49"/>
      <c r="G1665" s="48"/>
      <c r="H1665" s="49"/>
      <c r="I1665" s="48"/>
      <c r="J1665" s="49"/>
    </row>
    <row r="1666" spans="1:11" ht="12.75">
      <c r="A1666" s="42"/>
      <c r="B1666" s="80"/>
      <c r="C1666" s="86"/>
      <c r="D1666" s="48"/>
      <c r="E1666" s="48"/>
      <c r="F1666" s="49"/>
      <c r="G1666" s="48"/>
      <c r="H1666" s="49"/>
      <c r="I1666" s="48"/>
      <c r="J1666" s="49"/>
    </row>
    <row r="1667" spans="1:11" ht="12.75">
      <c r="A1667" s="42"/>
      <c r="B1667" s="80"/>
      <c r="C1667" s="86"/>
      <c r="D1667" s="48"/>
      <c r="E1667" s="48"/>
      <c r="F1667" s="49"/>
      <c r="G1667" s="48"/>
      <c r="H1667" s="49"/>
      <c r="I1667" s="48"/>
      <c r="J1667" s="49"/>
    </row>
    <row r="1668" spans="1:11" ht="12.75">
      <c r="A1668" s="50"/>
      <c r="B1668" s="83"/>
      <c r="C1668" s="87"/>
      <c r="D1668" s="51"/>
      <c r="E1668" s="51"/>
      <c r="F1668" s="52"/>
      <c r="G1668" s="51"/>
      <c r="H1668" s="52"/>
      <c r="I1668" s="51"/>
      <c r="J1668" s="52"/>
      <c r="K1668" s="53"/>
    </row>
    <row r="1669" spans="1:11" ht="12.75">
      <c r="A1669" s="42"/>
      <c r="B1669" s="80"/>
      <c r="C1669" s="86"/>
      <c r="D1669" s="48"/>
      <c r="E1669" s="48"/>
      <c r="F1669" s="49"/>
      <c r="G1669" s="48"/>
      <c r="H1669" s="49"/>
      <c r="I1669" s="48"/>
      <c r="J1669" s="49"/>
    </row>
    <row r="1670" spans="1:11" ht="12.75">
      <c r="A1670" s="42"/>
      <c r="B1670" s="80"/>
      <c r="C1670" s="86"/>
      <c r="D1670" s="48"/>
      <c r="E1670" s="48"/>
      <c r="F1670" s="49"/>
      <c r="G1670" s="48"/>
      <c r="H1670" s="49"/>
      <c r="I1670" s="48"/>
      <c r="J1670" s="49"/>
    </row>
    <row r="1671" spans="1:11" ht="12.75">
      <c r="A1671" s="42"/>
      <c r="B1671" s="80"/>
      <c r="C1671" s="86"/>
      <c r="D1671" s="48"/>
      <c r="E1671" s="48"/>
      <c r="F1671" s="49"/>
      <c r="G1671" s="48"/>
      <c r="H1671" s="49"/>
      <c r="I1671" s="48"/>
      <c r="J1671" s="49"/>
    </row>
    <row r="1672" spans="1:11" ht="12.75">
      <c r="A1672" s="42"/>
      <c r="B1672" s="80"/>
      <c r="C1672" s="86"/>
      <c r="D1672" s="48"/>
      <c r="E1672" s="48"/>
      <c r="F1672" s="49"/>
      <c r="G1672" s="48"/>
      <c r="H1672" s="49"/>
      <c r="I1672" s="48"/>
      <c r="J1672" s="49"/>
    </row>
    <row r="1673" spans="1:11" ht="12.75">
      <c r="A1673" s="42"/>
      <c r="B1673" s="80"/>
      <c r="C1673" s="86"/>
      <c r="D1673" s="48"/>
      <c r="E1673" s="48"/>
      <c r="F1673" s="49"/>
      <c r="G1673" s="48"/>
      <c r="H1673" s="49"/>
      <c r="I1673" s="48"/>
      <c r="J1673" s="49"/>
    </row>
    <row r="1674" spans="1:11" ht="12.75">
      <c r="A1674" s="42"/>
      <c r="B1674" s="80"/>
      <c r="C1674" s="86"/>
      <c r="D1674" s="48"/>
      <c r="E1674" s="48"/>
      <c r="F1674" s="49"/>
      <c r="G1674" s="48"/>
      <c r="H1674" s="49"/>
      <c r="I1674" s="48"/>
      <c r="J1674" s="49"/>
    </row>
    <row r="1675" spans="1:11" ht="12.75">
      <c r="A1675" s="42"/>
      <c r="B1675" s="80"/>
      <c r="C1675" s="86"/>
      <c r="D1675" s="48"/>
      <c r="E1675" s="48"/>
      <c r="F1675" s="49"/>
      <c r="G1675" s="48"/>
      <c r="H1675" s="49"/>
      <c r="I1675" s="48"/>
      <c r="J1675" s="49"/>
    </row>
    <row r="1676" spans="1:11" ht="12.75">
      <c r="A1676" s="42"/>
      <c r="B1676" s="80"/>
      <c r="C1676" s="86"/>
      <c r="D1676" s="48"/>
      <c r="E1676" s="48"/>
      <c r="F1676" s="49"/>
      <c r="G1676" s="48"/>
      <c r="H1676" s="49"/>
      <c r="I1676" s="48"/>
      <c r="J1676" s="49"/>
    </row>
    <row r="1677" spans="1:11" ht="12.75">
      <c r="A1677" s="42"/>
      <c r="B1677" s="80"/>
      <c r="C1677" s="86"/>
      <c r="D1677" s="48"/>
      <c r="E1677" s="48"/>
      <c r="F1677" s="49"/>
      <c r="G1677" s="48"/>
      <c r="H1677" s="49"/>
      <c r="I1677" s="48"/>
      <c r="J1677" s="49"/>
    </row>
    <row r="1678" spans="1:11" ht="12.75">
      <c r="A1678" s="42"/>
      <c r="B1678" s="80"/>
      <c r="C1678" s="86"/>
      <c r="D1678" s="48"/>
      <c r="E1678" s="48"/>
      <c r="F1678" s="49"/>
      <c r="G1678" s="48"/>
      <c r="H1678" s="49"/>
      <c r="I1678" s="48"/>
      <c r="J1678" s="49"/>
    </row>
    <row r="1679" spans="1:11" ht="12.75">
      <c r="A1679" s="42"/>
      <c r="B1679" s="80"/>
      <c r="C1679" s="86"/>
      <c r="D1679" s="48"/>
      <c r="E1679" s="48"/>
      <c r="F1679" s="49"/>
      <c r="G1679" s="48"/>
      <c r="H1679" s="49"/>
      <c r="I1679" s="48"/>
      <c r="J1679" s="49"/>
    </row>
    <row r="1680" spans="1:11" ht="12.75">
      <c r="A1680" s="42"/>
      <c r="B1680" s="80"/>
      <c r="C1680" s="86"/>
      <c r="D1680" s="48"/>
      <c r="E1680" s="48"/>
      <c r="F1680" s="49"/>
      <c r="G1680" s="48"/>
      <c r="H1680" s="49"/>
      <c r="I1680" s="48"/>
      <c r="J1680" s="49"/>
    </row>
    <row r="1681" spans="1:10" ht="12.75">
      <c r="A1681" s="42"/>
      <c r="B1681" s="80"/>
      <c r="C1681" s="86"/>
      <c r="D1681" s="48"/>
      <c r="E1681" s="48"/>
      <c r="F1681" s="49"/>
      <c r="G1681" s="48"/>
      <c r="H1681" s="49"/>
      <c r="I1681" s="48"/>
      <c r="J1681" s="49"/>
    </row>
    <row r="1682" spans="1:10" ht="12.75">
      <c r="A1682" s="42"/>
      <c r="B1682" s="80"/>
      <c r="C1682" s="86"/>
      <c r="D1682" s="48"/>
      <c r="E1682" s="48"/>
      <c r="F1682" s="49"/>
      <c r="G1682" s="48"/>
      <c r="H1682" s="49"/>
      <c r="I1682" s="48"/>
      <c r="J1682" s="49"/>
    </row>
    <row r="1683" spans="1:10" ht="12.75">
      <c r="A1683" s="42"/>
      <c r="B1683" s="80"/>
      <c r="C1683" s="86"/>
      <c r="D1683" s="48"/>
      <c r="E1683" s="48"/>
      <c r="F1683" s="49"/>
      <c r="G1683" s="48"/>
      <c r="H1683" s="49"/>
      <c r="I1683" s="48"/>
      <c r="J1683" s="49"/>
    </row>
    <row r="1684" spans="1:10" ht="12.75">
      <c r="A1684" s="42" t="s">
        <v>203</v>
      </c>
      <c r="B1684" s="80"/>
      <c r="C1684" s="86"/>
      <c r="D1684" s="48"/>
      <c r="E1684" s="48"/>
      <c r="F1684" s="49"/>
      <c r="G1684" s="48"/>
      <c r="H1684" s="49">
        <f>SUM(H1655:H1683)</f>
        <v>405103</v>
      </c>
      <c r="I1684" s="48"/>
      <c r="J1684" s="49">
        <f>SUM(J1655:J1682)</f>
        <v>0</v>
      </c>
    </row>
    <row r="1685" spans="1:10" ht="12.75">
      <c r="A1685" s="43"/>
      <c r="B1685" s="80"/>
      <c r="C1685" s="86"/>
      <c r="D1685" s="48"/>
      <c r="E1685" s="48"/>
      <c r="F1685" s="49"/>
      <c r="G1685" s="48"/>
      <c r="H1685" s="49"/>
      <c r="I1685" s="48"/>
      <c r="J1685" s="49"/>
    </row>
    <row r="1686" spans="1:10" ht="12.75">
      <c r="A1686" s="43"/>
      <c r="B1686" s="84"/>
      <c r="C1686" s="88"/>
      <c r="D1686" s="54"/>
      <c r="E1686" s="54"/>
      <c r="F1686" s="55"/>
      <c r="G1686" s="54"/>
      <c r="H1686" s="55"/>
      <c r="I1686" s="54"/>
      <c r="J1686" s="55"/>
    </row>
    <row r="1687" spans="1:10" ht="12.75"/>
    <row r="1688" spans="1:10" ht="12.75"/>
    <row r="1689" spans="1:10" ht="12.75">
      <c r="A1689" s="41" t="s">
        <v>204</v>
      </c>
      <c r="B1689" s="41"/>
      <c r="C1689" s="41"/>
      <c r="D1689" s="41"/>
      <c r="E1689" s="41"/>
      <c r="F1689" s="41"/>
    </row>
    <row r="1690" spans="1:10" ht="12.75"/>
    <row r="1691" spans="1:10" ht="12.75"/>
    <row r="1692" spans="1:10" ht="12.75">
      <c r="A1692" s="42" t="s">
        <v>188</v>
      </c>
      <c r="B1692" s="42" t="s">
        <v>189</v>
      </c>
      <c r="C1692" s="42"/>
      <c r="D1692" s="42"/>
      <c r="E1692" s="42"/>
      <c r="F1692" s="42"/>
      <c r="G1692" s="43" t="s">
        <v>113</v>
      </c>
      <c r="H1692" s="42" t="s">
        <v>205</v>
      </c>
      <c r="I1692" s="42" t="s">
        <v>208</v>
      </c>
      <c r="J1692" s="43"/>
    </row>
    <row r="1693" spans="1:10" ht="12.75">
      <c r="A1693" s="42" t="s">
        <v>191</v>
      </c>
      <c r="B1693" s="89">
        <v>45993</v>
      </c>
      <c r="C1693" s="42"/>
      <c r="D1693" s="42"/>
      <c r="E1693" s="42"/>
      <c r="F1693" s="42"/>
      <c r="G1693" s="43"/>
      <c r="H1693" s="42" t="s">
        <v>192</v>
      </c>
      <c r="I1693" s="91" t="s">
        <v>137</v>
      </c>
      <c r="J1693" s="43"/>
    </row>
    <row r="1694" spans="1:10" ht="12.75">
      <c r="A1694" s="42"/>
      <c r="B1694" s="42"/>
      <c r="C1694" s="42"/>
      <c r="D1694" s="42"/>
      <c r="E1694" s="42"/>
      <c r="F1694" s="42"/>
      <c r="G1694" s="43"/>
      <c r="H1694" s="43"/>
      <c r="I1694" s="43"/>
      <c r="J1694" s="43"/>
    </row>
    <row r="1695" spans="1:10" ht="12.75">
      <c r="A1695" s="42"/>
      <c r="B1695" s="44" t="s">
        <v>193</v>
      </c>
      <c r="C1695" s="44" t="s">
        <v>194</v>
      </c>
      <c r="D1695" s="44" t="s">
        <v>195</v>
      </c>
      <c r="E1695" s="44" t="s">
        <v>196</v>
      </c>
      <c r="F1695" s="44" t="s">
        <v>197</v>
      </c>
      <c r="G1695" s="44" t="s">
        <v>198</v>
      </c>
      <c r="H1695" s="44" t="s">
        <v>199</v>
      </c>
      <c r="I1695" s="44" t="s">
        <v>200</v>
      </c>
      <c r="J1695" s="44" t="s">
        <v>199</v>
      </c>
    </row>
    <row r="1696" spans="1:10" ht="12.75">
      <c r="A1696" s="42"/>
      <c r="B1696" s="79"/>
      <c r="C1696" s="85"/>
      <c r="D1696" s="45"/>
      <c r="E1696" s="45"/>
      <c r="F1696" s="46"/>
      <c r="G1696" s="45"/>
      <c r="H1696" s="46"/>
      <c r="I1696" s="45"/>
      <c r="J1696" s="47"/>
    </row>
    <row r="1697" spans="1:10" ht="12.75">
      <c r="B1697" s="82">
        <v>1</v>
      </c>
      <c r="C1697" s="60" t="s">
        <v>209</v>
      </c>
      <c r="D1697" s="48" t="s">
        <v>202</v>
      </c>
      <c r="E1697" s="48"/>
      <c r="F1697" s="69">
        <v>45993</v>
      </c>
      <c r="G1697" s="48" t="s">
        <v>113</v>
      </c>
      <c r="H1697" s="49"/>
      <c r="I1697" s="48" t="s">
        <v>139</v>
      </c>
      <c r="J1697" s="49">
        <v>405103</v>
      </c>
    </row>
    <row r="1698" spans="1:10" ht="12.75">
      <c r="B1698" s="82"/>
      <c r="C1698" s="60"/>
      <c r="D1698" s="48"/>
      <c r="E1698" s="48"/>
      <c r="F1698" s="49"/>
      <c r="G1698" s="48"/>
      <c r="H1698" s="49"/>
      <c r="I1698" s="48"/>
      <c r="J1698" s="49"/>
    </row>
    <row r="1699" spans="1:10" ht="12.75">
      <c r="A1699" s="42"/>
      <c r="B1699" s="82"/>
      <c r="C1699" s="60"/>
      <c r="D1699" s="48"/>
      <c r="E1699" s="48"/>
      <c r="F1699" s="69"/>
      <c r="G1699" s="48"/>
      <c r="H1699" s="49"/>
      <c r="I1699" s="48"/>
      <c r="J1699" s="49"/>
    </row>
    <row r="1700" spans="1:10" ht="12.75">
      <c r="A1700" s="42"/>
      <c r="B1700" s="82"/>
      <c r="C1700" s="60"/>
      <c r="D1700" s="48"/>
      <c r="E1700" s="48"/>
      <c r="F1700" s="49"/>
      <c r="G1700" s="48"/>
      <c r="H1700" s="49"/>
      <c r="I1700" s="48"/>
      <c r="J1700" s="49"/>
    </row>
    <row r="1701" spans="1:10" ht="12.75">
      <c r="B1701" s="82"/>
      <c r="C1701" s="60"/>
      <c r="D1701" s="48"/>
      <c r="E1701" s="48"/>
      <c r="F1701" s="69"/>
      <c r="G1701" s="48"/>
      <c r="H1701" s="49"/>
      <c r="I1701" s="48"/>
      <c r="J1701" s="49"/>
    </row>
    <row r="1702" spans="1:10" ht="12.75">
      <c r="B1702" s="82"/>
      <c r="C1702" s="60"/>
      <c r="D1702" s="48"/>
      <c r="E1702" s="48"/>
      <c r="F1702" s="49"/>
      <c r="G1702" s="48"/>
      <c r="H1702" s="49"/>
      <c r="I1702" s="48"/>
      <c r="J1702" s="49"/>
    </row>
    <row r="1703" spans="1:10" ht="12.75">
      <c r="A1703" s="42"/>
      <c r="B1703" s="82"/>
      <c r="C1703" s="60"/>
      <c r="D1703" s="48"/>
      <c r="E1703" s="48"/>
      <c r="F1703" s="69"/>
      <c r="G1703" s="48"/>
      <c r="H1703" s="49"/>
      <c r="I1703" s="48"/>
      <c r="J1703" s="49"/>
    </row>
    <row r="1704" spans="1:10" ht="12.75">
      <c r="A1704" s="42"/>
      <c r="B1704" s="80"/>
      <c r="C1704" s="86"/>
      <c r="D1704" s="48"/>
      <c r="E1704" s="48"/>
      <c r="F1704" s="49"/>
      <c r="G1704" s="48"/>
      <c r="H1704" s="49"/>
      <c r="I1704" s="48"/>
      <c r="J1704" s="49"/>
    </row>
    <row r="1705" spans="1:10" ht="12.75">
      <c r="B1705" s="80"/>
      <c r="C1705" s="60"/>
      <c r="D1705" s="48"/>
      <c r="E1705" s="48"/>
      <c r="F1705" s="69"/>
      <c r="G1705" s="48"/>
      <c r="H1705" s="49"/>
      <c r="I1705" s="48"/>
      <c r="J1705" s="49"/>
    </row>
    <row r="1706" spans="1:10" ht="12.75">
      <c r="A1706" s="42"/>
      <c r="B1706" s="80"/>
      <c r="C1706" s="86"/>
      <c r="D1706" s="48"/>
      <c r="E1706" s="48"/>
      <c r="F1706" s="49"/>
      <c r="G1706" s="48"/>
      <c r="H1706" s="49"/>
      <c r="I1706" s="48"/>
      <c r="J1706" s="49"/>
    </row>
    <row r="1707" spans="1:10" ht="12.75">
      <c r="A1707" s="42"/>
      <c r="B1707" s="80"/>
      <c r="C1707" s="60"/>
      <c r="D1707" s="48"/>
      <c r="E1707" s="48"/>
      <c r="F1707" s="69"/>
      <c r="G1707" s="48"/>
      <c r="H1707" s="49"/>
      <c r="I1707" s="48"/>
      <c r="J1707" s="49"/>
    </row>
    <row r="1708" spans="1:10" ht="12.75">
      <c r="A1708" s="42"/>
      <c r="B1708" s="80"/>
      <c r="C1708" s="86"/>
      <c r="D1708" s="48"/>
      <c r="E1708" s="48"/>
      <c r="F1708" s="49"/>
      <c r="G1708" s="48"/>
      <c r="H1708" s="49"/>
      <c r="I1708" s="48"/>
      <c r="J1708" s="49"/>
    </row>
    <row r="1709" spans="1:10" ht="12.75">
      <c r="A1709" s="42"/>
      <c r="B1709" s="80"/>
      <c r="C1709" s="86"/>
      <c r="D1709" s="48"/>
      <c r="E1709" s="48"/>
      <c r="F1709" s="49"/>
      <c r="G1709" s="48"/>
      <c r="H1709" s="49"/>
      <c r="I1709" s="48"/>
      <c r="J1709" s="49"/>
    </row>
    <row r="1710" spans="1:10" ht="12.75">
      <c r="A1710" s="42"/>
      <c r="B1710" s="80"/>
      <c r="C1710" s="86"/>
      <c r="D1710" s="48"/>
      <c r="E1710" s="48"/>
      <c r="F1710" s="49"/>
      <c r="G1710" s="48"/>
      <c r="H1710" s="49"/>
      <c r="I1710" s="48"/>
      <c r="J1710" s="49"/>
    </row>
    <row r="1711" spans="1:10" ht="12.75">
      <c r="A1711" s="42"/>
      <c r="B1711" s="80"/>
      <c r="C1711" s="86"/>
      <c r="D1711" s="48"/>
      <c r="E1711" s="48"/>
      <c r="F1711" s="49"/>
      <c r="G1711" s="48"/>
      <c r="H1711" s="49"/>
      <c r="I1711" s="48"/>
      <c r="J1711" s="49"/>
    </row>
    <row r="1712" spans="1:10" ht="12.75">
      <c r="A1712" s="42"/>
      <c r="B1712" s="80"/>
      <c r="C1712" s="86"/>
      <c r="D1712" s="48"/>
      <c r="E1712" s="48"/>
      <c r="F1712" s="49"/>
      <c r="G1712" s="48"/>
      <c r="H1712" s="49"/>
      <c r="I1712" s="48"/>
      <c r="J1712" s="49"/>
    </row>
    <row r="1713" spans="1:10" ht="12.75">
      <c r="A1713" s="42"/>
      <c r="B1713" s="80"/>
      <c r="C1713" s="86"/>
      <c r="D1713" s="48"/>
      <c r="E1713" s="48"/>
      <c r="F1713" s="49"/>
      <c r="G1713" s="48"/>
      <c r="H1713" s="49"/>
      <c r="I1713" s="48"/>
      <c r="J1713" s="49"/>
    </row>
    <row r="1714" spans="1:10" ht="12.75">
      <c r="A1714" s="42"/>
      <c r="B1714" s="80"/>
      <c r="C1714" s="86"/>
      <c r="D1714" s="48"/>
      <c r="E1714" s="48"/>
      <c r="F1714" s="49"/>
      <c r="G1714" s="48"/>
      <c r="H1714" s="49"/>
      <c r="I1714" s="48"/>
      <c r="J1714" s="49"/>
    </row>
    <row r="1715" spans="1:10" ht="12.75">
      <c r="A1715" s="42"/>
      <c r="B1715" s="80"/>
      <c r="C1715" s="86"/>
      <c r="D1715" s="48"/>
      <c r="E1715" s="48"/>
      <c r="F1715" s="49"/>
      <c r="G1715" s="48"/>
      <c r="H1715" s="49"/>
      <c r="I1715" s="48"/>
      <c r="J1715" s="49"/>
    </row>
    <row r="1716" spans="1:10" ht="12.75">
      <c r="A1716" s="42"/>
      <c r="B1716" s="80"/>
      <c r="C1716" s="86"/>
      <c r="D1716" s="48"/>
      <c r="E1716" s="48"/>
      <c r="F1716" s="49"/>
      <c r="G1716" s="48"/>
      <c r="H1716" s="49"/>
      <c r="I1716" s="48"/>
      <c r="J1716" s="49"/>
    </row>
    <row r="1717" spans="1:10" ht="12.75">
      <c r="A1717" s="42"/>
      <c r="B1717" s="80"/>
      <c r="C1717" s="86"/>
      <c r="D1717" s="48"/>
      <c r="E1717" s="48"/>
      <c r="F1717" s="49"/>
      <c r="G1717" s="48"/>
      <c r="H1717" s="49"/>
      <c r="I1717" s="48"/>
      <c r="J1717" s="49"/>
    </row>
    <row r="1718" spans="1:10" ht="12.75">
      <c r="A1718" s="42"/>
      <c r="B1718" s="80"/>
      <c r="C1718" s="86"/>
      <c r="D1718" s="48"/>
      <c r="E1718" s="48"/>
      <c r="F1718" s="49"/>
      <c r="G1718" s="48"/>
      <c r="H1718" s="49"/>
      <c r="I1718" s="48"/>
      <c r="J1718" s="49"/>
    </row>
    <row r="1719" spans="1:10" ht="12.75">
      <c r="A1719" s="42"/>
      <c r="B1719" s="80"/>
      <c r="C1719" s="86"/>
      <c r="D1719" s="48"/>
      <c r="E1719" s="48"/>
      <c r="F1719" s="49"/>
      <c r="G1719" s="48"/>
      <c r="H1719" s="49"/>
      <c r="I1719" s="48"/>
      <c r="J1719" s="49"/>
    </row>
    <row r="1720" spans="1:10" ht="12.75">
      <c r="A1720" s="42"/>
      <c r="B1720" s="80"/>
      <c r="C1720" s="86"/>
      <c r="D1720" s="48"/>
      <c r="E1720" s="48"/>
      <c r="F1720" s="49"/>
      <c r="G1720" s="48"/>
      <c r="H1720" s="49"/>
      <c r="I1720" s="48"/>
      <c r="J1720" s="49"/>
    </row>
    <row r="1721" spans="1:10" ht="12.75">
      <c r="A1721" s="42"/>
      <c r="B1721" s="80"/>
      <c r="C1721" s="86"/>
      <c r="D1721" s="48"/>
      <c r="E1721" s="48"/>
      <c r="F1721" s="49"/>
      <c r="G1721" s="48"/>
      <c r="H1721" s="49"/>
      <c r="I1721" s="48"/>
      <c r="J1721" s="49"/>
    </row>
    <row r="1722" spans="1:10" ht="12.75">
      <c r="A1722" s="42"/>
      <c r="B1722" s="80"/>
      <c r="C1722" s="86"/>
      <c r="D1722" s="48"/>
      <c r="E1722" s="48"/>
      <c r="F1722" s="49"/>
      <c r="G1722" s="48"/>
      <c r="H1722" s="49"/>
      <c r="I1722" s="48"/>
      <c r="J1722" s="49"/>
    </row>
    <row r="1723" spans="1:10" ht="12.75">
      <c r="A1723" s="42" t="s">
        <v>207</v>
      </c>
      <c r="B1723" s="80"/>
      <c r="C1723" s="86"/>
      <c r="D1723" s="48"/>
      <c r="E1723" s="48"/>
      <c r="F1723" s="49"/>
      <c r="G1723" s="48"/>
      <c r="H1723" s="49"/>
      <c r="I1723" s="48"/>
      <c r="J1723" s="49">
        <f>SUM(J1697:J1722)</f>
        <v>405103</v>
      </c>
    </row>
    <row r="1724" spans="1:10" ht="12.75">
      <c r="A1724" s="43"/>
      <c r="B1724" s="80"/>
      <c r="C1724" s="86"/>
      <c r="D1724" s="48"/>
      <c r="E1724" s="48"/>
      <c r="F1724" s="49"/>
      <c r="G1724" s="48"/>
      <c r="H1724" s="49"/>
      <c r="I1724" s="48"/>
      <c r="J1724" s="49"/>
    </row>
    <row r="1725" spans="1:10" ht="12.75">
      <c r="A1725" s="43"/>
      <c r="B1725" s="84"/>
      <c r="C1725" s="88"/>
      <c r="D1725" s="54"/>
      <c r="E1725" s="54"/>
      <c r="F1725" s="55"/>
      <c r="G1725" s="54"/>
      <c r="H1725" s="55"/>
      <c r="I1725" s="54"/>
      <c r="J1725" s="55"/>
    </row>
    <row r="1726" spans="1:10" ht="12.75"/>
    <row r="1727" spans="1:10" ht="12.75"/>
    <row r="1728" spans="1:10" ht="12.75">
      <c r="A1728" s="41" t="s">
        <v>204</v>
      </c>
      <c r="B1728" s="41"/>
      <c r="C1728" s="41"/>
      <c r="D1728" s="41"/>
      <c r="E1728" s="41"/>
      <c r="F1728" s="41"/>
    </row>
    <row r="1729" spans="1:10" ht="12.75"/>
    <row r="1730" spans="1:10" ht="12.75"/>
    <row r="1731" spans="1:10" ht="12.75">
      <c r="A1731" s="42" t="s">
        <v>188</v>
      </c>
      <c r="B1731" s="42" t="s">
        <v>189</v>
      </c>
      <c r="C1731" s="42"/>
      <c r="D1731" s="42"/>
      <c r="E1731" s="42"/>
      <c r="F1731" s="42"/>
      <c r="G1731" s="43" t="s">
        <v>113</v>
      </c>
      <c r="H1731" s="42" t="s">
        <v>205</v>
      </c>
      <c r="I1731" s="42" t="s">
        <v>210</v>
      </c>
      <c r="J1731" s="43"/>
    </row>
    <row r="1732" spans="1:10" ht="12.75">
      <c r="A1732" s="42" t="s">
        <v>191</v>
      </c>
      <c r="B1732" s="89">
        <v>45993</v>
      </c>
      <c r="C1732" s="42"/>
      <c r="D1732" s="42"/>
      <c r="E1732" s="42"/>
      <c r="F1732" s="42"/>
      <c r="G1732" s="43"/>
      <c r="H1732" s="42" t="s">
        <v>192</v>
      </c>
      <c r="I1732" s="91" t="s">
        <v>154</v>
      </c>
      <c r="J1732" s="43"/>
    </row>
    <row r="1733" spans="1:10" ht="12.75">
      <c r="A1733" s="42"/>
      <c r="B1733" s="42"/>
      <c r="C1733" s="42"/>
      <c r="D1733" s="42"/>
      <c r="E1733" s="42"/>
      <c r="F1733" s="42"/>
      <c r="G1733" s="43"/>
      <c r="H1733" s="43"/>
      <c r="I1733" s="43"/>
      <c r="J1733" s="43"/>
    </row>
    <row r="1734" spans="1:10" ht="12.75">
      <c r="A1734" s="42"/>
      <c r="B1734" s="44" t="s">
        <v>193</v>
      </c>
      <c r="C1734" s="44" t="s">
        <v>194</v>
      </c>
      <c r="D1734" s="44" t="s">
        <v>195</v>
      </c>
      <c r="E1734" s="44" t="s">
        <v>196</v>
      </c>
      <c r="F1734" s="44" t="s">
        <v>197</v>
      </c>
      <c r="G1734" s="44" t="s">
        <v>198</v>
      </c>
      <c r="H1734" s="44" t="s">
        <v>199</v>
      </c>
      <c r="I1734" s="44" t="s">
        <v>200</v>
      </c>
      <c r="J1734" s="44" t="s">
        <v>199</v>
      </c>
    </row>
    <row r="1735" spans="1:10" ht="12.75">
      <c r="A1735" s="42"/>
      <c r="B1735" s="79"/>
      <c r="C1735" s="85"/>
      <c r="D1735" s="45"/>
      <c r="E1735" s="45"/>
      <c r="F1735" s="46"/>
      <c r="G1735" s="45"/>
      <c r="H1735" s="46"/>
      <c r="I1735" s="45"/>
      <c r="J1735" s="47"/>
    </row>
    <row r="1736" spans="1:10" ht="12.75">
      <c r="B1736" s="82">
        <v>1</v>
      </c>
      <c r="C1736" s="60" t="s">
        <v>209</v>
      </c>
      <c r="D1736" s="48" t="s">
        <v>202</v>
      </c>
      <c r="E1736" s="48"/>
      <c r="F1736" s="69">
        <v>45993</v>
      </c>
      <c r="G1736" s="48" t="s">
        <v>113</v>
      </c>
      <c r="H1736" s="49"/>
      <c r="I1736" s="48" t="s">
        <v>139</v>
      </c>
      <c r="J1736" s="49">
        <v>57871</v>
      </c>
    </row>
    <row r="1737" spans="1:10" ht="12.75">
      <c r="B1737" s="82"/>
      <c r="C1737" s="60"/>
      <c r="D1737" s="48"/>
      <c r="E1737" s="48"/>
      <c r="F1737" s="49"/>
      <c r="G1737" s="48"/>
      <c r="H1737" s="49"/>
      <c r="I1737" s="48"/>
      <c r="J1737" s="49"/>
    </row>
    <row r="1738" spans="1:10" ht="12.75">
      <c r="A1738" s="42"/>
      <c r="B1738" s="82"/>
      <c r="C1738" s="60"/>
      <c r="D1738" s="48"/>
      <c r="E1738" s="48"/>
      <c r="F1738" s="69"/>
      <c r="G1738" s="48"/>
      <c r="H1738" s="49"/>
      <c r="I1738" s="48" t="s">
        <v>113</v>
      </c>
      <c r="J1738" s="49" t="s">
        <v>113</v>
      </c>
    </row>
    <row r="1739" spans="1:10" ht="12.75">
      <c r="A1739" s="42"/>
      <c r="B1739" s="82"/>
      <c r="C1739" s="60"/>
      <c r="D1739" s="48"/>
      <c r="E1739" s="48"/>
      <c r="F1739" s="49"/>
      <c r="G1739" s="48"/>
      <c r="H1739" s="49"/>
      <c r="I1739" s="48"/>
      <c r="J1739" s="49"/>
    </row>
    <row r="1740" spans="1:10" ht="12.75">
      <c r="B1740" s="82"/>
      <c r="C1740" s="60"/>
      <c r="D1740" s="48"/>
      <c r="E1740" s="48"/>
      <c r="F1740" s="69"/>
      <c r="G1740" s="48"/>
      <c r="H1740" s="49"/>
      <c r="I1740" s="48"/>
      <c r="J1740" s="49"/>
    </row>
    <row r="1741" spans="1:10" ht="12.75">
      <c r="B1741" s="82"/>
      <c r="C1741" s="60"/>
      <c r="D1741" s="48"/>
      <c r="E1741" s="48"/>
      <c r="F1741" s="49"/>
      <c r="G1741" s="48"/>
      <c r="H1741" s="49"/>
      <c r="I1741" s="48"/>
      <c r="J1741" s="49"/>
    </row>
    <row r="1742" spans="1:10" ht="12.75">
      <c r="A1742" s="42"/>
      <c r="B1742" s="82"/>
      <c r="C1742" s="60"/>
      <c r="D1742" s="48"/>
      <c r="E1742" s="48"/>
      <c r="F1742" s="69"/>
      <c r="G1742" s="48"/>
      <c r="H1742" s="49"/>
      <c r="I1742" s="48"/>
      <c r="J1742" s="49"/>
    </row>
    <row r="1743" spans="1:10" ht="12.75">
      <c r="A1743" s="42"/>
      <c r="B1743" s="80"/>
      <c r="C1743" s="86"/>
      <c r="D1743" s="48"/>
      <c r="E1743" s="48"/>
      <c r="F1743" s="49"/>
      <c r="G1743" s="48"/>
      <c r="H1743" s="49"/>
      <c r="I1743" s="48"/>
      <c r="J1743" s="49"/>
    </row>
    <row r="1744" spans="1:10" ht="12.75">
      <c r="B1744" s="80"/>
      <c r="C1744" s="60"/>
      <c r="D1744" s="48"/>
      <c r="E1744" s="48"/>
      <c r="F1744" s="69"/>
      <c r="G1744" s="48"/>
      <c r="H1744" s="49"/>
      <c r="I1744" s="48"/>
      <c r="J1744" s="49"/>
    </row>
    <row r="1745" spans="1:10" ht="12.75">
      <c r="A1745" s="42"/>
      <c r="B1745" s="80"/>
      <c r="C1745" s="86"/>
      <c r="D1745" s="48"/>
      <c r="E1745" s="48"/>
      <c r="F1745" s="49"/>
      <c r="G1745" s="48"/>
      <c r="H1745" s="49"/>
      <c r="I1745" s="48"/>
      <c r="J1745" s="49"/>
    </row>
    <row r="1746" spans="1:10" ht="12.75">
      <c r="A1746" s="42"/>
      <c r="B1746" s="80"/>
      <c r="C1746" s="60"/>
      <c r="D1746" s="48"/>
      <c r="E1746" s="48"/>
      <c r="F1746" s="69"/>
      <c r="G1746" s="48"/>
      <c r="H1746" s="49"/>
      <c r="I1746" s="48"/>
      <c r="J1746" s="49"/>
    </row>
    <row r="1747" spans="1:10" ht="12.75">
      <c r="A1747" s="42"/>
      <c r="B1747" s="80"/>
      <c r="C1747" s="86"/>
      <c r="D1747" s="48"/>
      <c r="E1747" s="48"/>
      <c r="F1747" s="49"/>
      <c r="G1747" s="48"/>
      <c r="H1747" s="49"/>
      <c r="I1747" s="48"/>
      <c r="J1747" s="49"/>
    </row>
    <row r="1748" spans="1:10" ht="12.75">
      <c r="A1748" s="42"/>
      <c r="B1748" s="80"/>
      <c r="C1748" s="86"/>
      <c r="D1748" s="48"/>
      <c r="E1748" s="48"/>
      <c r="F1748" s="49"/>
      <c r="G1748" s="48"/>
      <c r="H1748" s="49"/>
      <c r="I1748" s="48"/>
      <c r="J1748" s="49"/>
    </row>
    <row r="1749" spans="1:10" ht="12.75">
      <c r="A1749" s="42"/>
      <c r="B1749" s="80"/>
      <c r="C1749" s="86"/>
      <c r="D1749" s="48"/>
      <c r="E1749" s="48"/>
      <c r="F1749" s="49"/>
      <c r="G1749" s="48"/>
      <c r="H1749" s="49"/>
      <c r="I1749" s="48"/>
      <c r="J1749" s="49"/>
    </row>
    <row r="1750" spans="1:10" ht="12.75">
      <c r="A1750" s="42"/>
      <c r="B1750" s="80"/>
      <c r="C1750" s="86"/>
      <c r="D1750" s="48"/>
      <c r="E1750" s="48"/>
      <c r="F1750" s="49"/>
      <c r="G1750" s="48"/>
      <c r="H1750" s="49"/>
      <c r="I1750" s="48"/>
      <c r="J1750" s="49"/>
    </row>
    <row r="1751" spans="1:10" ht="12.75">
      <c r="A1751" s="42"/>
      <c r="B1751" s="80"/>
      <c r="C1751" s="86"/>
      <c r="D1751" s="48"/>
      <c r="E1751" s="48"/>
      <c r="F1751" s="49"/>
      <c r="G1751" s="48"/>
      <c r="H1751" s="49"/>
      <c r="I1751" s="48"/>
      <c r="J1751" s="49"/>
    </row>
    <row r="1752" spans="1:10" ht="12.75">
      <c r="A1752" s="42"/>
      <c r="B1752" s="80"/>
      <c r="C1752" s="86"/>
      <c r="D1752" s="48"/>
      <c r="E1752" s="48"/>
      <c r="F1752" s="49"/>
      <c r="G1752" s="48"/>
      <c r="H1752" s="49"/>
      <c r="I1752" s="48"/>
      <c r="J1752" s="49"/>
    </row>
    <row r="1753" spans="1:10" ht="12.75">
      <c r="A1753" s="42"/>
      <c r="B1753" s="80"/>
      <c r="C1753" s="86"/>
      <c r="D1753" s="48"/>
      <c r="E1753" s="48"/>
      <c r="F1753" s="49"/>
      <c r="G1753" s="48"/>
      <c r="H1753" s="49"/>
      <c r="I1753" s="48"/>
      <c r="J1753" s="49"/>
    </row>
    <row r="1754" spans="1:10" ht="12.75">
      <c r="A1754" s="42"/>
      <c r="B1754" s="80"/>
      <c r="C1754" s="86"/>
      <c r="D1754" s="48"/>
      <c r="E1754" s="48"/>
      <c r="F1754" s="49"/>
      <c r="G1754" s="48"/>
      <c r="H1754" s="49"/>
      <c r="I1754" s="48"/>
      <c r="J1754" s="49"/>
    </row>
    <row r="1755" spans="1:10" ht="12.75">
      <c r="A1755" s="42"/>
      <c r="B1755" s="80"/>
      <c r="C1755" s="86"/>
      <c r="D1755" s="48"/>
      <c r="E1755" s="48"/>
      <c r="F1755" s="49"/>
      <c r="G1755" s="48"/>
      <c r="H1755" s="49"/>
      <c r="I1755" s="48"/>
      <c r="J1755" s="49"/>
    </row>
    <row r="1756" spans="1:10" ht="12.75">
      <c r="A1756" s="42"/>
      <c r="B1756" s="80"/>
      <c r="C1756" s="86"/>
      <c r="D1756" s="48"/>
      <c r="E1756" s="48"/>
      <c r="F1756" s="49"/>
      <c r="G1756" s="48"/>
      <c r="H1756" s="49"/>
      <c r="I1756" s="48"/>
      <c r="J1756" s="49"/>
    </row>
    <row r="1757" spans="1:10" ht="12.75">
      <c r="A1757" s="42"/>
      <c r="B1757" s="80"/>
      <c r="C1757" s="86"/>
      <c r="D1757" s="48"/>
      <c r="E1757" s="48"/>
      <c r="F1757" s="49"/>
      <c r="G1757" s="48"/>
      <c r="H1757" s="49"/>
      <c r="I1757" s="48"/>
      <c r="J1757" s="49"/>
    </row>
    <row r="1758" spans="1:10" ht="12.75">
      <c r="A1758" s="42"/>
      <c r="B1758" s="80"/>
      <c r="C1758" s="86"/>
      <c r="D1758" s="48"/>
      <c r="E1758" s="48"/>
      <c r="F1758" s="49"/>
      <c r="G1758" s="48"/>
      <c r="H1758" s="49"/>
      <c r="I1758" s="48"/>
      <c r="J1758" s="49"/>
    </row>
    <row r="1759" spans="1:10" ht="12.75">
      <c r="A1759" s="42"/>
      <c r="B1759" s="80"/>
      <c r="C1759" s="86"/>
      <c r="D1759" s="48"/>
      <c r="E1759" s="48"/>
      <c r="F1759" s="49"/>
      <c r="G1759" s="48"/>
      <c r="H1759" s="49"/>
      <c r="I1759" s="48"/>
      <c r="J1759" s="49"/>
    </row>
    <row r="1760" spans="1:10" ht="12.75">
      <c r="A1760" s="42"/>
      <c r="B1760" s="80"/>
      <c r="C1760" s="86"/>
      <c r="D1760" s="48"/>
      <c r="E1760" s="48"/>
      <c r="F1760" s="49"/>
      <c r="G1760" s="48"/>
      <c r="H1760" s="49"/>
      <c r="I1760" s="48"/>
      <c r="J1760" s="49"/>
    </row>
    <row r="1761" spans="1:10" ht="12.75">
      <c r="A1761" s="42"/>
      <c r="B1761" s="80"/>
      <c r="C1761" s="86"/>
      <c r="D1761" s="48"/>
      <c r="E1761" s="48"/>
      <c r="F1761" s="49"/>
      <c r="G1761" s="48"/>
      <c r="H1761" s="49"/>
      <c r="I1761" s="48"/>
      <c r="J1761" s="49"/>
    </row>
    <row r="1762" spans="1:10" ht="12.75">
      <c r="A1762" s="42" t="s">
        <v>207</v>
      </c>
      <c r="B1762" s="80"/>
      <c r="C1762" s="86"/>
      <c r="D1762" s="48"/>
      <c r="E1762" s="48"/>
      <c r="F1762" s="49"/>
      <c r="G1762" s="48"/>
      <c r="H1762" s="49">
        <f>SUM(H1736:H1761)</f>
        <v>0</v>
      </c>
      <c r="I1762" s="48"/>
      <c r="J1762" s="49">
        <f>SUM(J1736:J1761)</f>
        <v>57871</v>
      </c>
    </row>
    <row r="1763" spans="1:10" ht="12.75">
      <c r="A1763" s="43"/>
      <c r="B1763" s="80"/>
      <c r="C1763" s="86"/>
      <c r="D1763" s="48"/>
      <c r="E1763" s="48"/>
      <c r="F1763" s="49"/>
      <c r="G1763" s="48"/>
      <c r="H1763" s="49"/>
      <c r="I1763" s="48"/>
      <c r="J1763" s="49"/>
    </row>
    <row r="1764" spans="1:10" ht="12.75">
      <c r="A1764" s="43"/>
      <c r="B1764" s="84"/>
      <c r="C1764" s="88"/>
      <c r="D1764" s="54"/>
      <c r="E1764" s="54"/>
      <c r="F1764" s="55"/>
      <c r="G1764" s="54"/>
      <c r="H1764" s="55"/>
      <c r="I1764" s="54"/>
      <c r="J1764" s="55"/>
    </row>
    <row r="1765" spans="1:10" ht="12.75"/>
    <row r="1766" spans="1:10" ht="12.75"/>
  </sheetData>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29C5F903C97B4CB8BC55B1A8F96C28" ma:contentTypeVersion="4" ma:contentTypeDescription="Create a new document." ma:contentTypeScope="" ma:versionID="c6d064780b9b78d9792fdfc4c6614be9">
  <xsd:schema xmlns:xsd="http://www.w3.org/2001/XMLSchema" xmlns:xs="http://www.w3.org/2001/XMLSchema" xmlns:p="http://schemas.microsoft.com/office/2006/metadata/properties" xmlns:ns2="e2ce32c9-f19e-4a70-a505-c74f564a5bd0" targetNamespace="http://schemas.microsoft.com/office/2006/metadata/properties" ma:root="true" ma:fieldsID="30f852b6e2d94c2e6a57c58d243d8085" ns2:_="">
    <xsd:import namespace="e2ce32c9-f19e-4a70-a505-c74f564a5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e32c9-f19e-4a70-a505-c74f564a5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7D1D7E-B2FE-4A15-8554-98B5463B4213}"/>
</file>

<file path=customXml/itemProps2.xml><?xml version="1.0" encoding="utf-8"?>
<ds:datastoreItem xmlns:ds="http://schemas.openxmlformats.org/officeDocument/2006/customXml" ds:itemID="{CABFD02A-09F2-4C27-B422-81A818188584}"/>
</file>

<file path=customXml/itemProps3.xml><?xml version="1.0" encoding="utf-8"?>
<ds:datastoreItem xmlns:ds="http://schemas.openxmlformats.org/officeDocument/2006/customXml" ds:itemID="{B09E642C-EB41-4232-B8C5-BBDB1DA5DA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Reed</dc:creator>
  <cp:keywords/>
  <dc:description/>
  <cp:lastModifiedBy/>
  <cp:revision/>
  <dcterms:created xsi:type="dcterms:W3CDTF">2025-02-10T23:41:46Z</dcterms:created>
  <dcterms:modified xsi:type="dcterms:W3CDTF">2025-12-03T01:38:10Z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